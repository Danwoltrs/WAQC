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lthers.sharepoint.com/sites/WolthersAssociatesQC/Shared Documents/Ahold/Performance/2025/"/>
    </mc:Choice>
  </mc:AlternateContent>
  <xr:revisionPtr revIDLastSave="620" documentId="13_ncr:1_{E5663159-723A-4C6A-A777-6525B475E9BE}" xr6:coauthVersionLast="47" xr6:coauthVersionMax="47" xr10:uidLastSave="{1A3C2D24-A3A5-4BD1-A377-F750384EE71A}"/>
  <bookViews>
    <workbookView xWindow="-108" yWindow="-108" windowWidth="23256" windowHeight="12456" xr2:uid="{066BB92A-03D8-42D1-A622-5E113E5EE087}"/>
  </bookViews>
  <sheets>
    <sheet name="Planilha1" sheetId="1" r:id="rId1"/>
  </sheets>
  <definedNames>
    <definedName name="_xlnm.Print_Area" localSheetId="0">Planilha1!$A$1:$F$44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D37" i="1"/>
  <c r="D38" i="1"/>
  <c r="D39" i="1"/>
  <c r="D40" i="1"/>
  <c r="D22" i="1"/>
  <c r="F22" i="1" s="1"/>
  <c r="D20" i="1"/>
  <c r="D19" i="1"/>
  <c r="D18" i="1"/>
  <c r="E18" i="1"/>
  <c r="F18" i="1"/>
  <c r="C43" i="1"/>
  <c r="D41" i="1"/>
  <c r="F41" i="1" s="1"/>
  <c r="D23" i="1"/>
  <c r="F23" i="1" s="1"/>
  <c r="C24" i="1"/>
  <c r="B24" i="1"/>
  <c r="D32" i="1"/>
  <c r="F32" i="1" s="1"/>
  <c r="D33" i="1"/>
  <c r="E33" i="1" s="1"/>
  <c r="D34" i="1"/>
  <c r="E34" i="1" s="1"/>
  <c r="D35" i="1"/>
  <c r="E35" i="1" s="1"/>
  <c r="D42" i="1"/>
  <c r="F42" i="1" s="1"/>
  <c r="B43" i="1"/>
  <c r="D11" i="1"/>
  <c r="E11" i="1" s="1"/>
  <c r="D12" i="1"/>
  <c r="F12" i="1" s="1"/>
  <c r="D13" i="1"/>
  <c r="E13" i="1" s="1"/>
  <c r="D14" i="1"/>
  <c r="E14" i="1" s="1"/>
  <c r="D15" i="1"/>
  <c r="E15" i="1" s="1"/>
  <c r="D16" i="1"/>
  <c r="E16" i="1" s="1"/>
  <c r="D17" i="1"/>
  <c r="E17" i="1" s="1"/>
  <c r="D21" i="1"/>
  <c r="F21" i="1" s="1"/>
  <c r="D31" i="1"/>
  <c r="E31" i="1" s="1"/>
  <c r="D10" i="1"/>
  <c r="E10" i="1" s="1"/>
  <c r="E36" i="1" l="1"/>
  <c r="F36" i="1"/>
  <c r="F37" i="1"/>
  <c r="E37" i="1"/>
  <c r="E38" i="1"/>
  <c r="F38" i="1"/>
  <c r="E39" i="1"/>
  <c r="F39" i="1"/>
  <c r="E40" i="1"/>
  <c r="F40" i="1"/>
  <c r="E19" i="1"/>
  <c r="F19" i="1"/>
  <c r="F20" i="1"/>
  <c r="E20" i="1"/>
  <c r="E21" i="1"/>
  <c r="F10" i="1"/>
  <c r="E42" i="1"/>
  <c r="F33" i="1"/>
  <c r="E32" i="1"/>
  <c r="E41" i="1"/>
  <c r="D43" i="1"/>
  <c r="F43" i="1" s="1"/>
  <c r="F16" i="1"/>
  <c r="F11" i="1"/>
  <c r="F35" i="1"/>
  <c r="E23" i="1"/>
  <c r="E22" i="1"/>
  <c r="F14" i="1"/>
  <c r="D24" i="1"/>
  <c r="E24" i="1" s="1"/>
  <c r="F34" i="1"/>
  <c r="F31" i="1"/>
  <c r="F15" i="1"/>
  <c r="E12" i="1"/>
  <c r="F17" i="1"/>
  <c r="F13" i="1"/>
  <c r="E43" i="1" l="1"/>
  <c r="F24" i="1"/>
</calcChain>
</file>

<file path=xl/sharedStrings.xml><?xml version="1.0" encoding="utf-8"?>
<sst xmlns="http://schemas.openxmlformats.org/spreadsheetml/2006/main" count="42" uniqueCount="24">
  <si>
    <t>PRE - SHIPMENT SAMPLE PERFORMANCE - SAMPLES</t>
  </si>
  <si>
    <t>Exporter PSS</t>
  </si>
  <si>
    <t>TOTAL GERAL</t>
  </si>
  <si>
    <t>APP</t>
  </si>
  <si>
    <t>REJ</t>
  </si>
  <si>
    <t>TOTAL</t>
  </si>
  <si>
    <t>%APP</t>
  </si>
  <si>
    <t>%REJ</t>
  </si>
  <si>
    <t>Mitsui</t>
  </si>
  <si>
    <t>SHIPMENT SAMPLE PERFORMANCE -  BAGS</t>
  </si>
  <si>
    <t xml:space="preserve"> Exporter SS</t>
  </si>
  <si>
    <t>Ofi</t>
  </si>
  <si>
    <t>Comexim</t>
  </si>
  <si>
    <t>Dreyfus</t>
  </si>
  <si>
    <t>Eisa</t>
  </si>
  <si>
    <t>Rothfos ( Union )</t>
  </si>
  <si>
    <t>Rothfos ( Veloso )</t>
  </si>
  <si>
    <t>Rothfos ( Exp. Guaxupe )</t>
  </si>
  <si>
    <t>Rothfos ( Stockler )</t>
  </si>
  <si>
    <t>Volcafe ( Comexim )</t>
  </si>
  <si>
    <t>Volcafe ( Capal )</t>
  </si>
  <si>
    <t>Volcafe ( Cocatrel )</t>
  </si>
  <si>
    <t>Volcafe ( NKG )</t>
  </si>
  <si>
    <t>Volcafe ( Grano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</si>
</sst>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4"/>
      <color indexed="13"/>
      <name val="Arial"/>
      <family val="2"/>
    </font>
    <font>
      <b/>
      <sz val="20"/>
      <color indexed="9"/>
      <name val="Times New Roman"/>
      <family val="1"/>
    </font>
    <font>
      <sz val="10"/>
      <color indexed="58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sz val="12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1" fontId="2" fillId="2" borderId="1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10" fontId="3" fillId="2" borderId="2" xfId="0" applyNumberFormat="1" applyFont="1" applyFill="1" applyBorder="1" applyAlignment="1">
      <alignment horizontal="center"/>
    </xf>
    <xf numFmtId="3" fontId="0" fillId="0" borderId="0" xfId="0" applyNumberFormat="1"/>
    <xf numFmtId="1" fontId="5" fillId="2" borderId="3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0" fontId="3" fillId="2" borderId="5" xfId="0" applyNumberFormat="1" applyFont="1" applyFill="1" applyBorder="1" applyAlignment="1">
      <alignment horizontal="center"/>
    </xf>
    <xf numFmtId="3" fontId="6" fillId="3" borderId="6" xfId="0" applyNumberFormat="1" applyFont="1" applyFill="1" applyBorder="1" applyAlignment="1">
      <alignment horizontal="left"/>
    </xf>
    <xf numFmtId="3" fontId="7" fillId="3" borderId="7" xfId="0" applyNumberFormat="1" applyFont="1" applyFill="1" applyBorder="1"/>
    <xf numFmtId="10" fontId="7" fillId="3" borderId="7" xfId="0" applyNumberFormat="1" applyFont="1" applyFill="1" applyBorder="1"/>
    <xf numFmtId="3" fontId="7" fillId="0" borderId="0" xfId="0" applyNumberFormat="1" applyFont="1"/>
    <xf numFmtId="3" fontId="0" fillId="0" borderId="0" xfId="0" applyNumberFormat="1" applyAlignment="1">
      <alignment horizontal="left"/>
    </xf>
    <xf numFmtId="10" fontId="0" fillId="0" borderId="0" xfId="0" applyNumberFormat="1"/>
    <xf numFmtId="3" fontId="8" fillId="4" borderId="8" xfId="0" applyNumberFormat="1" applyFont="1" applyFill="1" applyBorder="1" applyAlignment="1">
      <alignment horizontal="left"/>
    </xf>
    <xf numFmtId="3" fontId="9" fillId="6" borderId="6" xfId="0" applyNumberFormat="1" applyFont="1" applyFill="1" applyBorder="1" applyAlignment="1">
      <alignment horizontal="left"/>
    </xf>
    <xf numFmtId="3" fontId="12" fillId="6" borderId="7" xfId="0" applyNumberFormat="1" applyFont="1" applyFill="1" applyBorder="1"/>
    <xf numFmtId="10" fontId="12" fillId="6" borderId="7" xfId="0" applyNumberFormat="1" applyFont="1" applyFill="1" applyBorder="1"/>
    <xf numFmtId="3" fontId="10" fillId="4" borderId="9" xfId="0" applyNumberFormat="1" applyFont="1" applyFill="1" applyBorder="1" applyAlignment="1">
      <alignment horizontal="left"/>
    </xf>
    <xf numFmtId="3" fontId="9" fillId="6" borderId="10" xfId="0" applyNumberFormat="1" applyFont="1" applyFill="1" applyBorder="1" applyAlignment="1">
      <alignment horizontal="center"/>
    </xf>
    <xf numFmtId="10" fontId="9" fillId="6" borderId="10" xfId="0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/>
    </xf>
    <xf numFmtId="10" fontId="0" fillId="7" borderId="10" xfId="0" applyNumberFormat="1" applyFill="1" applyBorder="1" applyAlignment="1">
      <alignment horizontal="center"/>
    </xf>
    <xf numFmtId="10" fontId="0" fillId="7" borderId="10" xfId="1" applyNumberFormat="1" applyFont="1" applyFill="1" applyBorder="1" applyAlignment="1">
      <alignment horizontal="center"/>
    </xf>
    <xf numFmtId="3" fontId="13" fillId="8" borderId="11" xfId="0" applyNumberFormat="1" applyFont="1" applyFill="1" applyBorder="1" applyAlignment="1">
      <alignment horizontal="left"/>
    </xf>
    <xf numFmtId="3" fontId="11" fillId="8" borderId="11" xfId="0" applyNumberFormat="1" applyFont="1" applyFill="1" applyBorder="1" applyAlignment="1">
      <alignment horizontal="center"/>
    </xf>
    <xf numFmtId="10" fontId="11" fillId="8" borderId="11" xfId="0" applyNumberFormat="1" applyFont="1" applyFill="1" applyBorder="1" applyAlignment="1">
      <alignment horizontal="center"/>
    </xf>
    <xf numFmtId="10" fontId="11" fillId="8" borderId="11" xfId="1" applyNumberFormat="1" applyFont="1" applyFill="1" applyBorder="1" applyAlignment="1">
      <alignment horizontal="center"/>
    </xf>
    <xf numFmtId="3" fontId="11" fillId="0" borderId="0" xfId="0" applyNumberFormat="1" applyFont="1"/>
    <xf numFmtId="3" fontId="0" fillId="5" borderId="0" xfId="0" applyNumberFormat="1" applyFill="1" applyAlignment="1">
      <alignment horizontal="left"/>
    </xf>
    <xf numFmtId="3" fontId="0" fillId="5" borderId="0" xfId="0" applyNumberFormat="1" applyFill="1"/>
    <xf numFmtId="10" fontId="0" fillId="5" borderId="0" xfId="0" applyNumberFormat="1" applyFill="1"/>
    <xf numFmtId="1" fontId="6" fillId="3" borderId="6" xfId="0" applyNumberFormat="1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center"/>
    </xf>
    <xf numFmtId="10" fontId="3" fillId="3" borderId="7" xfId="0" applyNumberFormat="1" applyFont="1" applyFill="1" applyBorder="1" applyAlignment="1">
      <alignment horizontal="center"/>
    </xf>
    <xf numFmtId="3" fontId="8" fillId="6" borderId="8" xfId="0" applyNumberFormat="1" applyFont="1" applyFill="1" applyBorder="1" applyAlignment="1">
      <alignment horizontal="left"/>
    </xf>
    <xf numFmtId="3" fontId="14" fillId="6" borderId="7" xfId="0" applyNumberFormat="1" applyFont="1" applyFill="1" applyBorder="1" applyAlignment="1">
      <alignment horizontal="left"/>
    </xf>
    <xf numFmtId="10" fontId="14" fillId="6" borderId="7" xfId="0" applyNumberFormat="1" applyFont="1" applyFill="1" applyBorder="1" applyAlignment="1">
      <alignment horizontal="left"/>
    </xf>
    <xf numFmtId="3" fontId="9" fillId="6" borderId="9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3" fontId="0" fillId="7" borderId="11" xfId="0" applyNumberFormat="1" applyFill="1" applyBorder="1" applyAlignment="1">
      <alignment horizontal="center"/>
    </xf>
    <xf numFmtId="3" fontId="4" fillId="7" borderId="10" xfId="0" applyNumberFormat="1" applyFont="1" applyFill="1" applyBorder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PSS -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Planilha1!$A$10:$A$23</c:f>
              <c:strCache>
                <c:ptCount val="14"/>
                <c:pt idx="0">
                  <c:v>Comexim</c:v>
                </c:pt>
                <c:pt idx="1">
                  <c:v>Dreyfus</c:v>
                </c:pt>
                <c:pt idx="2">
                  <c:v>Eisa</c:v>
                </c:pt>
                <c:pt idx="3">
                  <c:v>Ofi</c:v>
                </c:pt>
                <c:pt idx="4">
                  <c:v>Rothfos ( Union )</c:v>
                </c:pt>
                <c:pt idx="5">
                  <c:v>Rothfos ( Veloso )</c:v>
                </c:pt>
                <c:pt idx="6">
                  <c:v>Rothfos ( Exp. Guaxupe )</c:v>
                </c:pt>
                <c:pt idx="7">
                  <c:v>Rothfos ( Stockler )</c:v>
                </c:pt>
                <c:pt idx="8">
                  <c:v>Volcafe ( Comexim )</c:v>
                </c:pt>
                <c:pt idx="9">
                  <c:v>Volcafe ( Capal )</c:v>
                </c:pt>
                <c:pt idx="10">
                  <c:v>Volcafe ( Cocatrel )</c:v>
                </c:pt>
                <c:pt idx="11">
                  <c:v>Volcafe ( NKG )</c:v>
                </c:pt>
                <c:pt idx="12">
                  <c:v>Volcafe ( Grano )</c:v>
                </c:pt>
                <c:pt idx="13">
                  <c:v>Mitsui</c:v>
                </c:pt>
              </c:strCache>
            </c:strRef>
          </c:cat>
          <c:val>
            <c:numRef>
              <c:f>Planilha1!$B$10:$B$23</c:f>
              <c:numCache>
                <c:formatCode>#,##0</c:formatCode>
                <c:ptCount val="14"/>
                <c:pt idx="0">
                  <c:v>25</c:v>
                </c:pt>
                <c:pt idx="1">
                  <c:v>9</c:v>
                </c:pt>
                <c:pt idx="2">
                  <c:v>35</c:v>
                </c:pt>
                <c:pt idx="3">
                  <c:v>12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  <c:pt idx="1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987-9500-A4FCF0CF30A5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Planilha1!$A$10:$A$23</c:f>
              <c:strCache>
                <c:ptCount val="14"/>
                <c:pt idx="0">
                  <c:v>Comexim</c:v>
                </c:pt>
                <c:pt idx="1">
                  <c:v>Dreyfus</c:v>
                </c:pt>
                <c:pt idx="2">
                  <c:v>Eisa</c:v>
                </c:pt>
                <c:pt idx="3">
                  <c:v>Ofi</c:v>
                </c:pt>
                <c:pt idx="4">
                  <c:v>Rothfos ( Union )</c:v>
                </c:pt>
                <c:pt idx="5">
                  <c:v>Rothfos ( Veloso )</c:v>
                </c:pt>
                <c:pt idx="6">
                  <c:v>Rothfos ( Exp. Guaxupe )</c:v>
                </c:pt>
                <c:pt idx="7">
                  <c:v>Rothfos ( Stockler )</c:v>
                </c:pt>
                <c:pt idx="8">
                  <c:v>Volcafe ( Comexim )</c:v>
                </c:pt>
                <c:pt idx="9">
                  <c:v>Volcafe ( Capal )</c:v>
                </c:pt>
                <c:pt idx="10">
                  <c:v>Volcafe ( Cocatrel )</c:v>
                </c:pt>
                <c:pt idx="11">
                  <c:v>Volcafe ( NKG )</c:v>
                </c:pt>
                <c:pt idx="12">
                  <c:v>Volcafe ( Grano )</c:v>
                </c:pt>
                <c:pt idx="13">
                  <c:v>Mitsui</c:v>
                </c:pt>
              </c:strCache>
            </c:strRef>
          </c:cat>
          <c:val>
            <c:numRef>
              <c:f>Planilha1!$C$10:$C$23</c:f>
              <c:numCache>
                <c:formatCode>#,##0</c:formatCode>
                <c:ptCount val="14"/>
                <c:pt idx="0">
                  <c:v>9</c:v>
                </c:pt>
                <c:pt idx="1">
                  <c:v>5</c:v>
                </c:pt>
                <c:pt idx="2">
                  <c:v>33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12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1-4987-9500-A4FCF0CF3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718736"/>
        <c:axId val="2051832928"/>
      </c:barChart>
      <c:catAx>
        <c:axId val="11347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832928"/>
        <c:crosses val="autoZero"/>
        <c:auto val="1"/>
        <c:lblAlgn val="ctr"/>
        <c:lblOffset val="100"/>
        <c:noMultiLvlLbl val="0"/>
      </c:catAx>
      <c:valAx>
        <c:axId val="20518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47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SHIPMENT</a:t>
            </a:r>
            <a:r>
              <a:rPr lang="pt-BR" baseline="0"/>
              <a:t> - BAGS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Planilha1!$A$31:$A$42</c:f>
              <c:strCache>
                <c:ptCount val="12"/>
                <c:pt idx="0">
                  <c:v>Comexim</c:v>
                </c:pt>
                <c:pt idx="1">
                  <c:v>Dreyfus</c:v>
                </c:pt>
                <c:pt idx="2">
                  <c:v>Eisa</c:v>
                </c:pt>
                <c:pt idx="3">
                  <c:v>Ofi</c:v>
                </c:pt>
                <c:pt idx="4">
                  <c:v>Rothfos ( Veloso )</c:v>
                </c:pt>
                <c:pt idx="5">
                  <c:v>Rothfos ( Exp. Guaxupe )</c:v>
                </c:pt>
                <c:pt idx="6">
                  <c:v>Rothfos ( Stockler )</c:v>
                </c:pt>
                <c:pt idx="7">
                  <c:v>Volcafe ( Comexim )</c:v>
                </c:pt>
                <c:pt idx="8">
                  <c:v>Volcafe ( Capal )</c:v>
                </c:pt>
                <c:pt idx="9">
                  <c:v>Volcafe ( Cocatrel )</c:v>
                </c:pt>
                <c:pt idx="10">
                  <c:v>Volcafe ( NKG )</c:v>
                </c:pt>
                <c:pt idx="11">
                  <c:v>Mitsui</c:v>
                </c:pt>
              </c:strCache>
            </c:strRef>
          </c:cat>
          <c:val>
            <c:numRef>
              <c:f>Planilha1!$B$31:$B$42</c:f>
              <c:numCache>
                <c:formatCode>#,##0</c:formatCode>
                <c:ptCount val="12"/>
                <c:pt idx="0">
                  <c:v>23928</c:v>
                </c:pt>
                <c:pt idx="1">
                  <c:v>25920</c:v>
                </c:pt>
                <c:pt idx="2">
                  <c:v>35200</c:v>
                </c:pt>
                <c:pt idx="3">
                  <c:v>9720</c:v>
                </c:pt>
                <c:pt idx="4">
                  <c:v>2880</c:v>
                </c:pt>
                <c:pt idx="5">
                  <c:v>4320</c:v>
                </c:pt>
                <c:pt idx="6">
                  <c:v>7920</c:v>
                </c:pt>
                <c:pt idx="7">
                  <c:v>3294</c:v>
                </c:pt>
                <c:pt idx="8">
                  <c:v>3600</c:v>
                </c:pt>
                <c:pt idx="9">
                  <c:v>2520</c:v>
                </c:pt>
                <c:pt idx="10">
                  <c:v>720</c:v>
                </c:pt>
                <c:pt idx="11">
                  <c:v>4680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7-4EE8-BED9-F39BFE6FA572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Planilha1!$A$31:$A$42</c:f>
              <c:strCache>
                <c:ptCount val="12"/>
                <c:pt idx="0">
                  <c:v>Comexim</c:v>
                </c:pt>
                <c:pt idx="1">
                  <c:v>Dreyfus</c:v>
                </c:pt>
                <c:pt idx="2">
                  <c:v>Eisa</c:v>
                </c:pt>
                <c:pt idx="3">
                  <c:v>Ofi</c:v>
                </c:pt>
                <c:pt idx="4">
                  <c:v>Rothfos ( Veloso )</c:v>
                </c:pt>
                <c:pt idx="5">
                  <c:v>Rothfos ( Exp. Guaxupe )</c:v>
                </c:pt>
                <c:pt idx="6">
                  <c:v>Rothfos ( Stockler )</c:v>
                </c:pt>
                <c:pt idx="7">
                  <c:v>Volcafe ( Comexim )</c:v>
                </c:pt>
                <c:pt idx="8">
                  <c:v>Volcafe ( Capal )</c:v>
                </c:pt>
                <c:pt idx="9">
                  <c:v>Volcafe ( Cocatrel )</c:v>
                </c:pt>
                <c:pt idx="10">
                  <c:v>Volcafe ( NKG )</c:v>
                </c:pt>
                <c:pt idx="11">
                  <c:v>Mitsui</c:v>
                </c:pt>
              </c:strCache>
            </c:strRef>
          </c:cat>
          <c:val>
            <c:numRef>
              <c:f>Planilha1!$C$31:$C$42</c:f>
              <c:numCache>
                <c:formatCode>#,##0</c:formatCode>
                <c:ptCount val="12"/>
                <c:pt idx="1">
                  <c:v>2160</c:v>
                </c:pt>
                <c:pt idx="2">
                  <c:v>2720</c:v>
                </c:pt>
                <c:pt idx="4">
                  <c:v>0</c:v>
                </c:pt>
                <c:pt idx="8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7-4EE8-BED9-F39BFE6F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066848"/>
        <c:axId val="2066063968"/>
      </c:barChart>
      <c:catAx>
        <c:axId val="20660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063968"/>
        <c:crosses val="autoZero"/>
        <c:auto val="1"/>
        <c:lblAlgn val="ctr"/>
        <c:lblOffset val="100"/>
        <c:noMultiLvlLbl val="0"/>
      </c:catAx>
      <c:valAx>
        <c:axId val="20660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0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1</xdr:row>
      <xdr:rowOff>38100</xdr:rowOff>
    </xdr:from>
    <xdr:to>
      <xdr:col>0</xdr:col>
      <xdr:colOff>1645920</xdr:colOff>
      <xdr:row>3</xdr:row>
      <xdr:rowOff>161925</xdr:rowOff>
    </xdr:to>
    <xdr:pic>
      <xdr:nvPicPr>
        <xdr:cNvPr id="2" name="Picture 35" descr="bandiera">
          <a:extLst>
            <a:ext uri="{FF2B5EF4-FFF2-40B4-BE49-F238E27FC236}">
              <a16:creationId xmlns:a16="http://schemas.microsoft.com/office/drawing/2014/main" id="{33CB1F52-A712-4054-AA44-FE0472C9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1" y="259080"/>
          <a:ext cx="1633219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274321</xdr:colOff>
      <xdr:row>0</xdr:row>
      <xdr:rowOff>182880</xdr:rowOff>
    </xdr:from>
    <xdr:to>
      <xdr:col>4</xdr:col>
      <xdr:colOff>1150621</xdr:colOff>
      <xdr:row>2</xdr:row>
      <xdr:rowOff>198120</xdr:rowOff>
    </xdr:to>
    <xdr:pic>
      <xdr:nvPicPr>
        <xdr:cNvPr id="4" name="Sample2">
          <a:extLst>
            <a:ext uri="{FF2B5EF4-FFF2-40B4-BE49-F238E27FC236}">
              <a16:creationId xmlns:a16="http://schemas.microsoft.com/office/drawing/2014/main" id="{7C02241C-8AF7-418B-8560-92FF9A647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50821" y="182880"/>
          <a:ext cx="2811780" cy="594360"/>
        </a:xfrm>
        <a:prstGeom prst="rect">
          <a:avLst/>
        </a:prstGeom>
      </xdr:spPr>
    </xdr:pic>
    <xdr:clientData/>
  </xdr:twoCellAnchor>
  <xdr:twoCellAnchor>
    <xdr:from>
      <xdr:col>7</xdr:col>
      <xdr:colOff>15240</xdr:colOff>
      <xdr:row>5</xdr:row>
      <xdr:rowOff>15240</xdr:rowOff>
    </xdr:from>
    <xdr:to>
      <xdr:col>20</xdr:col>
      <xdr:colOff>563880</xdr:colOff>
      <xdr:row>25</xdr:row>
      <xdr:rowOff>167640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2F0886-1217-97F9-3B0A-A0079A351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541020</xdr:colOff>
      <xdr:row>27</xdr:row>
      <xdr:rowOff>45720</xdr:rowOff>
    </xdr:from>
    <xdr:to>
      <xdr:col>20</xdr:col>
      <xdr:colOff>541020</xdr:colOff>
      <xdr:row>43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D1A6D9-68D9-7B7F-C088-1455B6DE0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C925-D0E9-4848-85FF-356EC8C9EA9A}">
  <dimension ref="A1:F43"/>
  <sheetViews>
    <sheetView tabSelected="1" workbookViewId="0">
      <selection activeCell="V14" sqref="V14"/>
    </sheetView>
  </sheetViews>
  <sheetFormatPr defaultColWidth="8.88671875" defaultRowHeight="14.4" x14ac:dyDescent="0.3"/>
  <cols>
    <col min="1" max="1" width="24.109375" style="42" customWidth="1"/>
    <col min="2" max="2" width="12" customWidth="1"/>
    <col min="3" max="3" width="15.33203125" customWidth="1"/>
    <col min="4" max="4" width="12.88671875" customWidth="1"/>
    <col min="5" max="5" width="17.44140625" customWidth="1"/>
    <col min="6" max="6" width="19.6640625" customWidth="1"/>
  </cols>
  <sheetData>
    <row r="1" spans="1:6" s="4" customFormat="1" ht="17.399999999999999" x14ac:dyDescent="0.3">
      <c r="A1" s="1">
        <v>2025</v>
      </c>
      <c r="B1" s="2"/>
      <c r="C1" s="2"/>
      <c r="D1" s="2"/>
      <c r="E1" s="3"/>
      <c r="F1" s="3"/>
    </row>
    <row r="2" spans="1:6" s="4" customFormat="1" ht="28.5" customHeight="1" x14ac:dyDescent="0.3">
      <c r="A2" s="5"/>
      <c r="B2" s="6"/>
      <c r="C2" s="6"/>
      <c r="D2" s="6"/>
      <c r="E2" s="7"/>
      <c r="F2" s="7"/>
    </row>
    <row r="3" spans="1:6" s="4" customFormat="1" ht="17.399999999999999" x14ac:dyDescent="0.3">
      <c r="A3" s="5"/>
      <c r="B3" s="6"/>
      <c r="C3" s="6"/>
      <c r="D3" s="6"/>
      <c r="E3" s="7"/>
      <c r="F3" s="7"/>
    </row>
    <row r="4" spans="1:6" s="4" customFormat="1" ht="17.399999999999999" x14ac:dyDescent="0.3">
      <c r="A4" s="8"/>
      <c r="B4" s="9"/>
      <c r="C4" s="9"/>
      <c r="D4" s="9"/>
      <c r="E4" s="10"/>
      <c r="F4" s="10"/>
    </row>
    <row r="6" spans="1:6" s="14" customFormat="1" ht="24.6" x14ac:dyDescent="0.4">
      <c r="A6" s="11" t="s">
        <v>0</v>
      </c>
      <c r="B6" s="12"/>
      <c r="C6" s="12"/>
      <c r="D6" s="12"/>
      <c r="E6" s="13"/>
      <c r="F6" s="13"/>
    </row>
    <row r="7" spans="1:6" s="4" customFormat="1" x14ac:dyDescent="0.3">
      <c r="A7" s="15"/>
      <c r="E7" s="16"/>
      <c r="F7" s="16"/>
    </row>
    <row r="8" spans="1:6" s="4" customFormat="1" ht="17.399999999999999" x14ac:dyDescent="0.3">
      <c r="A8" s="17" t="s">
        <v>1</v>
      </c>
      <c r="B8" s="18" t="s">
        <v>2</v>
      </c>
      <c r="C8" s="19"/>
      <c r="D8" s="19"/>
      <c r="E8" s="20"/>
      <c r="F8" s="20"/>
    </row>
    <row r="9" spans="1:6" s="4" customFormat="1" ht="15.6" x14ac:dyDescent="0.3">
      <c r="A9" s="21"/>
      <c r="B9" s="22" t="s">
        <v>3</v>
      </c>
      <c r="C9" s="22" t="s">
        <v>4</v>
      </c>
      <c r="D9" s="22" t="s">
        <v>5</v>
      </c>
      <c r="E9" s="23" t="s">
        <v>6</v>
      </c>
      <c r="F9" s="23" t="s">
        <v>7</v>
      </c>
    </row>
    <row r="10" spans="1:6" s="4" customFormat="1" x14ac:dyDescent="0.3">
      <c r="A10" s="44" t="s">
        <v>12</v>
      </c>
      <c r="B10" s="24">
        <v>25</v>
      </c>
      <c r="C10" s="24">
        <v>9</v>
      </c>
      <c r="D10" s="24">
        <f t="shared" ref="D10:D20" si="0">SUM(B10:C10)</f>
        <v>34</v>
      </c>
      <c r="E10" s="25">
        <f t="shared" ref="E10" si="1">B10/D10</f>
        <v>0.73529411764705888</v>
      </c>
      <c r="F10" s="26">
        <f t="shared" ref="F10" si="2">C10/D10</f>
        <v>0.26470588235294118</v>
      </c>
    </row>
    <row r="11" spans="1:6" s="4" customFormat="1" x14ac:dyDescent="0.3">
      <c r="A11" s="44" t="s">
        <v>13</v>
      </c>
      <c r="B11" s="24">
        <v>9</v>
      </c>
      <c r="C11" s="24">
        <v>5</v>
      </c>
      <c r="D11" s="24">
        <f t="shared" ref="D11:D16" si="3">SUM(B11:C11)</f>
        <v>14</v>
      </c>
      <c r="E11" s="25">
        <f t="shared" ref="E11:E21" si="4">B11/D11</f>
        <v>0.6428571428571429</v>
      </c>
      <c r="F11" s="26">
        <f t="shared" ref="F11:F21" si="5">C11/D11</f>
        <v>0.35714285714285715</v>
      </c>
    </row>
    <row r="12" spans="1:6" s="4" customFormat="1" x14ac:dyDescent="0.3">
      <c r="A12" s="44" t="s">
        <v>14</v>
      </c>
      <c r="B12" s="24">
        <v>35</v>
      </c>
      <c r="C12" s="24">
        <v>33</v>
      </c>
      <c r="D12" s="24">
        <f t="shared" si="3"/>
        <v>68</v>
      </c>
      <c r="E12" s="25">
        <f t="shared" si="4"/>
        <v>0.51470588235294112</v>
      </c>
      <c r="F12" s="26">
        <f t="shared" si="5"/>
        <v>0.48529411764705882</v>
      </c>
    </row>
    <row r="13" spans="1:6" s="4" customFormat="1" x14ac:dyDescent="0.3">
      <c r="A13" s="44" t="s">
        <v>11</v>
      </c>
      <c r="B13" s="24">
        <v>12</v>
      </c>
      <c r="C13" s="24">
        <v>0</v>
      </c>
      <c r="D13" s="24">
        <f t="shared" si="3"/>
        <v>12</v>
      </c>
      <c r="E13" s="25">
        <f t="shared" si="4"/>
        <v>1</v>
      </c>
      <c r="F13" s="26">
        <f t="shared" si="5"/>
        <v>0</v>
      </c>
    </row>
    <row r="14" spans="1:6" s="4" customFormat="1" x14ac:dyDescent="0.3">
      <c r="A14" s="44" t="s">
        <v>15</v>
      </c>
      <c r="B14" s="24">
        <v>0</v>
      </c>
      <c r="C14" s="24">
        <v>1</v>
      </c>
      <c r="D14" s="24">
        <f t="shared" si="3"/>
        <v>1</v>
      </c>
      <c r="E14" s="25">
        <f t="shared" si="4"/>
        <v>0</v>
      </c>
      <c r="F14" s="26">
        <f t="shared" si="5"/>
        <v>1</v>
      </c>
    </row>
    <row r="15" spans="1:6" s="4" customFormat="1" x14ac:dyDescent="0.3">
      <c r="A15" s="44" t="s">
        <v>16</v>
      </c>
      <c r="B15" s="24">
        <v>4</v>
      </c>
      <c r="C15" s="24">
        <v>0</v>
      </c>
      <c r="D15" s="24">
        <f t="shared" si="3"/>
        <v>4</v>
      </c>
      <c r="E15" s="25">
        <f t="shared" si="4"/>
        <v>1</v>
      </c>
      <c r="F15" s="26">
        <f t="shared" si="5"/>
        <v>0</v>
      </c>
    </row>
    <row r="16" spans="1:6" s="4" customFormat="1" x14ac:dyDescent="0.3">
      <c r="A16" s="44" t="s">
        <v>17</v>
      </c>
      <c r="B16" s="24">
        <v>9</v>
      </c>
      <c r="C16" s="24">
        <v>2</v>
      </c>
      <c r="D16" s="24">
        <f t="shared" si="3"/>
        <v>11</v>
      </c>
      <c r="E16" s="25">
        <f t="shared" si="4"/>
        <v>0.81818181818181823</v>
      </c>
      <c r="F16" s="26">
        <f t="shared" si="5"/>
        <v>0.18181818181818182</v>
      </c>
    </row>
    <row r="17" spans="1:6" s="4" customFormat="1" x14ac:dyDescent="0.3">
      <c r="A17" s="44" t="s">
        <v>18</v>
      </c>
      <c r="B17" s="24">
        <v>7</v>
      </c>
      <c r="C17" s="24">
        <v>1</v>
      </c>
      <c r="D17" s="24">
        <f t="shared" si="0"/>
        <v>8</v>
      </c>
      <c r="E17" s="25">
        <f t="shared" si="4"/>
        <v>0.875</v>
      </c>
      <c r="F17" s="26">
        <f t="shared" si="5"/>
        <v>0.125</v>
      </c>
    </row>
    <row r="18" spans="1:6" s="4" customFormat="1" x14ac:dyDescent="0.3">
      <c r="A18" s="44" t="s">
        <v>19</v>
      </c>
      <c r="B18" s="43">
        <v>5</v>
      </c>
      <c r="C18" s="43">
        <v>2</v>
      </c>
      <c r="D18" s="43">
        <f t="shared" si="0"/>
        <v>7</v>
      </c>
      <c r="E18" s="25">
        <f t="shared" ref="E18:E20" si="6">B18/D18</f>
        <v>0.7142857142857143</v>
      </c>
      <c r="F18" s="26">
        <f t="shared" ref="F18:F20" si="7">C18/D18</f>
        <v>0.2857142857142857</v>
      </c>
    </row>
    <row r="19" spans="1:6" s="4" customFormat="1" x14ac:dyDescent="0.3">
      <c r="A19" s="44" t="s">
        <v>20</v>
      </c>
      <c r="B19" s="43">
        <v>8</v>
      </c>
      <c r="C19" s="43">
        <v>0</v>
      </c>
      <c r="D19" s="43">
        <f t="shared" si="0"/>
        <v>8</v>
      </c>
      <c r="E19" s="25">
        <f t="shared" si="6"/>
        <v>1</v>
      </c>
      <c r="F19" s="26">
        <f t="shared" si="7"/>
        <v>0</v>
      </c>
    </row>
    <row r="20" spans="1:6" s="4" customFormat="1" x14ac:dyDescent="0.3">
      <c r="A20" s="44" t="s">
        <v>21</v>
      </c>
      <c r="B20" s="43">
        <v>3</v>
      </c>
      <c r="C20" s="43">
        <v>12</v>
      </c>
      <c r="D20" s="43">
        <f t="shared" si="0"/>
        <v>15</v>
      </c>
      <c r="E20" s="25">
        <f t="shared" si="6"/>
        <v>0.2</v>
      </c>
      <c r="F20" s="26">
        <f t="shared" si="7"/>
        <v>0.8</v>
      </c>
    </row>
    <row r="21" spans="1:6" s="4" customFormat="1" x14ac:dyDescent="0.3">
      <c r="A21" s="44" t="s">
        <v>22</v>
      </c>
      <c r="B21" s="43">
        <v>1</v>
      </c>
      <c r="C21" s="43">
        <v>4</v>
      </c>
      <c r="D21" s="43">
        <f>SUM(B21:C21)</f>
        <v>5</v>
      </c>
      <c r="E21" s="25">
        <f t="shared" si="4"/>
        <v>0.2</v>
      </c>
      <c r="F21" s="26">
        <f t="shared" si="5"/>
        <v>0.8</v>
      </c>
    </row>
    <row r="22" spans="1:6" s="4" customFormat="1" x14ac:dyDescent="0.3">
      <c r="A22" s="44" t="s">
        <v>23</v>
      </c>
      <c r="B22" s="43">
        <v>0</v>
      </c>
      <c r="C22" s="43">
        <v>2</v>
      </c>
      <c r="D22" s="43">
        <f>SUM(B22:C22)</f>
        <v>2</v>
      </c>
      <c r="E22" s="25">
        <f t="shared" ref="E22:E23" si="8">B22/D22</f>
        <v>0</v>
      </c>
      <c r="F22" s="26">
        <f t="shared" ref="F22:F23" si="9">C22/D22</f>
        <v>1</v>
      </c>
    </row>
    <row r="23" spans="1:6" s="4" customFormat="1" x14ac:dyDescent="0.3">
      <c r="A23" s="44" t="s">
        <v>8</v>
      </c>
      <c r="B23" s="43">
        <v>15</v>
      </c>
      <c r="C23" s="43">
        <v>0</v>
      </c>
      <c r="D23" s="43">
        <f t="shared" ref="D23" si="10">SUM(B23:C23)</f>
        <v>15</v>
      </c>
      <c r="E23" s="25">
        <f t="shared" si="8"/>
        <v>1</v>
      </c>
      <c r="F23" s="26">
        <f t="shared" si="9"/>
        <v>0</v>
      </c>
    </row>
    <row r="24" spans="1:6" s="31" customFormat="1" ht="13.2" x14ac:dyDescent="0.25">
      <c r="A24" s="27"/>
      <c r="B24" s="28">
        <f>SUM(B10:B23)</f>
        <v>133</v>
      </c>
      <c r="C24" s="28">
        <f>SUM(C10:C23)</f>
        <v>71</v>
      </c>
      <c r="D24" s="28">
        <f>SUM(B24:C24)</f>
        <v>204</v>
      </c>
      <c r="E24" s="29">
        <f>B24/D24*100/100</f>
        <v>0.65196078431372551</v>
      </c>
      <c r="F24" s="30">
        <f>C24/D24*100/100</f>
        <v>0.34803921568627449</v>
      </c>
    </row>
    <row r="25" spans="1:6" s="4" customFormat="1" x14ac:dyDescent="0.3">
      <c r="A25" s="32"/>
      <c r="B25" s="33"/>
      <c r="C25" s="33"/>
      <c r="D25" s="33"/>
      <c r="E25" s="34"/>
      <c r="F25" s="34"/>
    </row>
    <row r="26" spans="1:6" s="4" customFormat="1" x14ac:dyDescent="0.3">
      <c r="A26" s="32"/>
      <c r="B26" s="33"/>
      <c r="C26" s="33"/>
      <c r="D26" s="33"/>
      <c r="E26" s="34"/>
      <c r="F26" s="34"/>
    </row>
    <row r="28" spans="1:6" s="4" customFormat="1" ht="27.75" customHeight="1" x14ac:dyDescent="0.4">
      <c r="A28" s="35" t="s">
        <v>9</v>
      </c>
      <c r="B28" s="36"/>
      <c r="C28" s="36"/>
      <c r="D28" s="36"/>
      <c r="E28" s="37"/>
      <c r="F28" s="37"/>
    </row>
    <row r="29" spans="1:6" s="15" customFormat="1" ht="17.399999999999999" x14ac:dyDescent="0.3">
      <c r="A29" s="38" t="s">
        <v>10</v>
      </c>
      <c r="B29" s="18" t="s">
        <v>2</v>
      </c>
      <c r="C29" s="39"/>
      <c r="D29" s="39"/>
      <c r="E29" s="40"/>
      <c r="F29" s="40"/>
    </row>
    <row r="30" spans="1:6" s="4" customFormat="1" ht="15.6" x14ac:dyDescent="0.3">
      <c r="A30" s="41"/>
      <c r="B30" s="22" t="s">
        <v>3</v>
      </c>
      <c r="C30" s="22" t="s">
        <v>4</v>
      </c>
      <c r="D30" s="22" t="s">
        <v>5</v>
      </c>
      <c r="E30" s="23" t="s">
        <v>6</v>
      </c>
      <c r="F30" s="23" t="s">
        <v>7</v>
      </c>
    </row>
    <row r="31" spans="1:6" s="4" customFormat="1" x14ac:dyDescent="0.3">
      <c r="A31" s="44" t="s">
        <v>12</v>
      </c>
      <c r="B31" s="24">
        <v>23928</v>
      </c>
      <c r="C31" s="24"/>
      <c r="D31" s="24">
        <f t="shared" ref="D31:D42" si="11">SUM(B31:C31)</f>
        <v>23928</v>
      </c>
      <c r="E31" s="25">
        <f t="shared" ref="E31" si="12">B31/D31</f>
        <v>1</v>
      </c>
      <c r="F31" s="26">
        <f t="shared" ref="F31" si="13">C31/D31</f>
        <v>0</v>
      </c>
    </row>
    <row r="32" spans="1:6" s="4" customFormat="1" x14ac:dyDescent="0.3">
      <c r="A32" s="44" t="s">
        <v>13</v>
      </c>
      <c r="B32" s="24">
        <v>25920</v>
      </c>
      <c r="C32" s="24">
        <v>2160</v>
      </c>
      <c r="D32" s="24">
        <f t="shared" ref="D32:D41" si="14">SUM(B32:C32)</f>
        <v>28080</v>
      </c>
      <c r="E32" s="25">
        <f t="shared" ref="E32:E42" si="15">B32/D32</f>
        <v>0.92307692307692313</v>
      </c>
      <c r="F32" s="26">
        <f t="shared" ref="F32:F42" si="16">C32/D32</f>
        <v>7.6923076923076927E-2</v>
      </c>
    </row>
    <row r="33" spans="1:6" s="4" customFormat="1" x14ac:dyDescent="0.3">
      <c r="A33" s="44" t="s">
        <v>14</v>
      </c>
      <c r="B33" s="24">
        <v>35200</v>
      </c>
      <c r="C33" s="24">
        <v>2720</v>
      </c>
      <c r="D33" s="24">
        <f t="shared" si="14"/>
        <v>37920</v>
      </c>
      <c r="E33" s="25">
        <f t="shared" si="15"/>
        <v>0.92827004219409281</v>
      </c>
      <c r="F33" s="26">
        <f t="shared" si="16"/>
        <v>7.1729957805907171E-2</v>
      </c>
    </row>
    <row r="34" spans="1:6" s="4" customFormat="1" x14ac:dyDescent="0.3">
      <c r="A34" s="44" t="s">
        <v>11</v>
      </c>
      <c r="B34" s="24">
        <v>9720</v>
      </c>
      <c r="C34" s="24"/>
      <c r="D34" s="24">
        <f t="shared" si="14"/>
        <v>9720</v>
      </c>
      <c r="E34" s="25">
        <f t="shared" si="15"/>
        <v>1</v>
      </c>
      <c r="F34" s="26">
        <f t="shared" si="16"/>
        <v>0</v>
      </c>
    </row>
    <row r="35" spans="1:6" s="4" customFormat="1" x14ac:dyDescent="0.3">
      <c r="A35" s="44" t="s">
        <v>16</v>
      </c>
      <c r="B35" s="24">
        <v>2880</v>
      </c>
      <c r="C35" s="24">
        <v>0</v>
      </c>
      <c r="D35" s="24">
        <f t="shared" si="14"/>
        <v>2880</v>
      </c>
      <c r="E35" s="25">
        <f t="shared" si="15"/>
        <v>1</v>
      </c>
      <c r="F35" s="26">
        <f t="shared" si="16"/>
        <v>0</v>
      </c>
    </row>
    <row r="36" spans="1:6" s="4" customFormat="1" x14ac:dyDescent="0.3">
      <c r="A36" s="44" t="s">
        <v>17</v>
      </c>
      <c r="B36" s="24">
        <v>4320</v>
      </c>
      <c r="C36" s="24"/>
      <c r="D36" s="24">
        <f t="shared" si="14"/>
        <v>4320</v>
      </c>
      <c r="E36" s="25">
        <f t="shared" ref="E36:E40" si="17">B36/D36</f>
        <v>1</v>
      </c>
      <c r="F36" s="26">
        <f t="shared" ref="F36:F40" si="18">C36/D36</f>
        <v>0</v>
      </c>
    </row>
    <row r="37" spans="1:6" s="4" customFormat="1" x14ac:dyDescent="0.3">
      <c r="A37" s="44" t="s">
        <v>18</v>
      </c>
      <c r="B37" s="24">
        <v>7920</v>
      </c>
      <c r="C37" s="24"/>
      <c r="D37" s="24">
        <f t="shared" si="14"/>
        <v>7920</v>
      </c>
      <c r="E37" s="25">
        <f t="shared" si="17"/>
        <v>1</v>
      </c>
      <c r="F37" s="26">
        <f t="shared" si="18"/>
        <v>0</v>
      </c>
    </row>
    <row r="38" spans="1:6" s="4" customFormat="1" x14ac:dyDescent="0.3">
      <c r="A38" s="44" t="s">
        <v>19</v>
      </c>
      <c r="B38" s="24">
        <v>3294</v>
      </c>
      <c r="C38" s="24"/>
      <c r="D38" s="24">
        <f t="shared" si="14"/>
        <v>3294</v>
      </c>
      <c r="E38" s="25">
        <f t="shared" si="17"/>
        <v>1</v>
      </c>
      <c r="F38" s="26">
        <f t="shared" si="18"/>
        <v>0</v>
      </c>
    </row>
    <row r="39" spans="1:6" s="4" customFormat="1" x14ac:dyDescent="0.3">
      <c r="A39" s="44" t="s">
        <v>20</v>
      </c>
      <c r="B39" s="24">
        <v>3600</v>
      </c>
      <c r="C39" s="24">
        <v>720</v>
      </c>
      <c r="D39" s="24">
        <f t="shared" si="14"/>
        <v>4320</v>
      </c>
      <c r="E39" s="25">
        <f t="shared" si="17"/>
        <v>0.83333333333333337</v>
      </c>
      <c r="F39" s="26">
        <f t="shared" si="18"/>
        <v>0.16666666666666666</v>
      </c>
    </row>
    <row r="40" spans="1:6" s="4" customFormat="1" x14ac:dyDescent="0.3">
      <c r="A40" s="44" t="s">
        <v>21</v>
      </c>
      <c r="B40" s="24">
        <v>2520</v>
      </c>
      <c r="C40" s="24"/>
      <c r="D40" s="24">
        <f t="shared" si="14"/>
        <v>2520</v>
      </c>
      <c r="E40" s="25">
        <f t="shared" si="17"/>
        <v>1</v>
      </c>
      <c r="F40" s="26">
        <f t="shared" si="18"/>
        <v>0</v>
      </c>
    </row>
    <row r="41" spans="1:6" s="4" customFormat="1" x14ac:dyDescent="0.3">
      <c r="A41" s="44" t="s">
        <v>22</v>
      </c>
      <c r="B41" s="24">
        <v>720</v>
      </c>
      <c r="C41" s="24"/>
      <c r="D41" s="24">
        <f t="shared" si="14"/>
        <v>720</v>
      </c>
      <c r="E41" s="25">
        <f t="shared" si="15"/>
        <v>1</v>
      </c>
      <c r="F41" s="26">
        <f t="shared" si="16"/>
        <v>0</v>
      </c>
    </row>
    <row r="42" spans="1:6" s="4" customFormat="1" x14ac:dyDescent="0.3">
      <c r="A42" s="44" t="s">
        <v>8</v>
      </c>
      <c r="B42" s="24">
        <v>4680</v>
      </c>
      <c r="C42" s="24"/>
      <c r="D42" s="24">
        <f t="shared" si="11"/>
        <v>4680</v>
      </c>
      <c r="E42" s="25">
        <f t="shared" si="15"/>
        <v>1</v>
      </c>
      <c r="F42" s="26">
        <f t="shared" si="16"/>
        <v>0</v>
      </c>
    </row>
    <row r="43" spans="1:6" s="31" customFormat="1" ht="13.2" x14ac:dyDescent="0.25">
      <c r="A43" s="27"/>
      <c r="B43" s="28">
        <f>SUM(B31:B42)</f>
        <v>124702</v>
      </c>
      <c r="C43" s="28">
        <f>SUM(C31:C42)</f>
        <v>5600</v>
      </c>
      <c r="D43" s="28">
        <f>SUM(B43:C43)</f>
        <v>130302</v>
      </c>
      <c r="E43" s="29">
        <f>B43/D43*100/100</f>
        <v>0.95702291599514977</v>
      </c>
      <c r="F43" s="30">
        <f>C43/D43*100/100</f>
        <v>4.2977084004850272E-2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5abb69-fff6-4b58-88f5-38edc1963a0f" xsi:nil="true"/>
    <lcf76f155ced4ddcb4097134ff3c332f xmlns="366c3e2e-e921-4b76-8bcd-a9e7c33955a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9E1123BB8434DBE897FC86D378198" ma:contentTypeVersion="18" ma:contentTypeDescription="Crie um novo documento." ma:contentTypeScope="" ma:versionID="a134ec501eda77394095296104829232">
  <xsd:schema xmlns:xsd="http://www.w3.org/2001/XMLSchema" xmlns:xs="http://www.w3.org/2001/XMLSchema" xmlns:p="http://schemas.microsoft.com/office/2006/metadata/properties" xmlns:ns2="366c3e2e-e921-4b76-8bcd-a9e7c33955a8" xmlns:ns3="215abb69-fff6-4b58-88f5-38edc1963a0f" targetNamespace="http://schemas.microsoft.com/office/2006/metadata/properties" ma:root="true" ma:fieldsID="994cdd8d510c203ae30f47eb937bde6a" ns2:_="" ns3:_="">
    <xsd:import namespace="366c3e2e-e921-4b76-8bcd-a9e7c33955a8"/>
    <xsd:import namespace="215abb69-fff6-4b58-88f5-38edc1963a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c3e2e-e921-4b76-8bcd-a9e7c3395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74ca3374-feee-46cc-99ac-d101b78d3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abb69-fff6-4b58-88f5-38edc1963a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7e1988-b4a4-4196-bb81-2821f7bd2523}" ma:internalName="TaxCatchAll" ma:showField="CatchAllData" ma:web="215abb69-fff6-4b58-88f5-38edc1963a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7DF95-8FEC-429C-9419-BDC9D815E57A}">
  <ds:schemaRefs>
    <ds:schemaRef ds:uri="http://schemas.microsoft.com/office/2006/metadata/properties"/>
    <ds:schemaRef ds:uri="http://schemas.microsoft.com/office/infopath/2007/PartnerControls"/>
    <ds:schemaRef ds:uri="215abb69-fff6-4b58-88f5-38edc1963a0f"/>
    <ds:schemaRef ds:uri="366c3e2e-e921-4b76-8bcd-a9e7c33955a8"/>
  </ds:schemaRefs>
</ds:datastoreItem>
</file>

<file path=customXml/itemProps2.xml><?xml version="1.0" encoding="utf-8"?>
<ds:datastoreItem xmlns:ds="http://schemas.openxmlformats.org/officeDocument/2006/customXml" ds:itemID="{7A334CA0-2F1F-48FB-B839-E3DF4A5B28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1D6295-7E45-4989-A9DC-BCFA08AE2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c3e2e-e921-4b76-8bcd-a9e7c33955a8"/>
    <ds:schemaRef ds:uri="215abb69-fff6-4b58-88f5-38edc1963a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Anderson  Nunes dos Santos</cp:lastModifiedBy>
  <cp:lastPrinted>2023-12-29T10:47:43Z</cp:lastPrinted>
  <dcterms:created xsi:type="dcterms:W3CDTF">2019-12-30T13:37:44Z</dcterms:created>
  <dcterms:modified xsi:type="dcterms:W3CDTF">2025-12-29T11:53:31Z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0x010100F159E1123BB8434DBE897FC86D378198</vt:lpwstr>
  </property>
  <property fmtid="{D5CDD505-2E9C-101B-9397-08002B2CF9AE}" pid="3" name="MediaServiceImageTags">
    <vt:lpwstr/>
  </property>
</Properties>
</file>