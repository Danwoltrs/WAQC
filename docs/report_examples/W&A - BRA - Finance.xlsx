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lthers.sharepoint.com/sites/WolthersAssociatesQC/Shared Documents/Dunkin Donuts/"/>
    </mc:Choice>
  </mc:AlternateContent>
  <xr:revisionPtr revIDLastSave="19179" documentId="6_{CFB89B5E-672D-491B-AC24-8F44C1E1B10E}" xr6:coauthVersionLast="47" xr6:coauthVersionMax="47" xr10:uidLastSave="{A9BF0FDB-C1FB-4A3B-A9A4-55060A6FEBF9}"/>
  <bookViews>
    <workbookView xWindow="-108" yWindow="-108" windowWidth="23256" windowHeight="12456" tabRatio="615" xr2:uid="{00000000-000D-0000-FFFF-FFFF00000000}"/>
  </bookViews>
  <sheets>
    <sheet name="DB Current year" sheetId="31" r:id="rId1"/>
    <sheet name="Helper" sheetId="32" r:id="rId2"/>
  </sheets>
  <definedNames>
    <definedName name="Exporter">_xlfn.ANCHORARRAY(Helper!$C$2)</definedName>
    <definedName name="ExternalData_1" localSheetId="0" hidden="1">'DB Current year'!$A$1:$J$38</definedName>
    <definedName name="Importer">_xlfn.ANCHORARRAY(Helper!$B$2)</definedName>
    <definedName name="Roaster">_xlfn.ANCHORARRAY(Helper!$A$2)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1" l="1" a="1"/>
  <c r="L4" i="31" s="1"/>
  <c r="C2" i="32" a="1"/>
  <c r="B2" i="32" a="1"/>
  <c r="A2" i="32" a="1"/>
  <c r="C2" i="32" l="1"/>
  <c r="B2" i="32"/>
  <c r="A2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A2493D-08B7-9A41-A47C-566C8644A0C0}" keepAlive="1" name="Query - DB Current year" description="Connection to the 'DB Current year' query in the workbook." type="5" refreshedVersion="8" background="1" saveData="1">
    <dbPr connection="Provider=Microsoft.Mashup.OleDb.1;Data Source=$Workbook$;Location=&quot;DB Current year&quot;;Extended Properties=&quot;&quot;" command="SELECT * FROM [DB Current ye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<sst xmlns="http://schemas.openxmlformats.org/spreadsheetml/2006/main" count="316" uniqueCount="136">
  <si>
    <t>Roaster</t>
  </si>
  <si>
    <t>Certificate#</t>
  </si>
  <si>
    <t>Importer</t>
  </si>
  <si>
    <t>Exporter</t>
  </si>
  <si>
    <t>Bags</t>
  </si>
  <si>
    <t>Importer Contract #</t>
  </si>
  <si>
    <t>Container</t>
  </si>
  <si>
    <t>Contract #</t>
  </si>
  <si>
    <t>Roaster Destination</t>
  </si>
  <si>
    <t>Ico Marks#</t>
  </si>
  <si>
    <t>Date Tested</t>
  </si>
  <si>
    <t>Mother Parkers</t>
  </si>
  <si>
    <t xml:space="preserve">Filtro          </t>
  </si>
  <si>
    <t/>
  </si>
  <si>
    <t>Unsold</t>
  </si>
  <si>
    <t>Coffee America</t>
  </si>
  <si>
    <t>Cooxupe</t>
  </si>
  <si>
    <t>Ofi</t>
  </si>
  <si>
    <t>36.651/26</t>
  </si>
  <si>
    <t>Qusac Decaf</t>
  </si>
  <si>
    <t>S660803-15</t>
  </si>
  <si>
    <t>002/1145/1880</t>
  </si>
  <si>
    <t>HLBU 351.143-6</t>
  </si>
  <si>
    <t>36.652/26</t>
  </si>
  <si>
    <t>S660803-14</t>
  </si>
  <si>
    <t>002/1145/1881</t>
  </si>
  <si>
    <t>HLBU 403.444-6</t>
  </si>
  <si>
    <t>36.653/26</t>
  </si>
  <si>
    <t>S660803-17</t>
  </si>
  <si>
    <t>002/1145/1882</t>
  </si>
  <si>
    <t>DIRU 607.081-0</t>
  </si>
  <si>
    <t>36.660/26</t>
  </si>
  <si>
    <t>P07113.003</t>
  </si>
  <si>
    <t>002/4600/1542</t>
  </si>
  <si>
    <t>MSKU 575.444-1</t>
  </si>
  <si>
    <t>36.661/26</t>
  </si>
  <si>
    <t>002/4600/1543</t>
  </si>
  <si>
    <t>TCKU 167.056-4</t>
  </si>
  <si>
    <t>36.662/26</t>
  </si>
  <si>
    <t>002/4600/1544</t>
  </si>
  <si>
    <t>TLLU 239.372-6</t>
  </si>
  <si>
    <t>36.663/26</t>
  </si>
  <si>
    <t>002/4600/1545</t>
  </si>
  <si>
    <t>CAAU 248.594-9</t>
  </si>
  <si>
    <t>36.664/26</t>
  </si>
  <si>
    <t>P07113.001</t>
  </si>
  <si>
    <t>002/4600/1546</t>
  </si>
  <si>
    <t>TGCU 209.327-5</t>
  </si>
  <si>
    <t>36.665/26</t>
  </si>
  <si>
    <t>002/4600/1547</t>
  </si>
  <si>
    <t>CAAU 208.261-9</t>
  </si>
  <si>
    <t>36.666/26</t>
  </si>
  <si>
    <t>002/4600/1548</t>
  </si>
  <si>
    <t>CAIU 337.065-4</t>
  </si>
  <si>
    <t>36.667/26</t>
  </si>
  <si>
    <t>002/4600/1549</t>
  </si>
  <si>
    <t>HLBU 402.104-8</t>
  </si>
  <si>
    <t>36.668/26</t>
  </si>
  <si>
    <t>002/4600/1550</t>
  </si>
  <si>
    <t>TEMU 546.175-7</t>
  </si>
  <si>
    <t>36.673/26</t>
  </si>
  <si>
    <t>S660803-16</t>
  </si>
  <si>
    <t>002/1145/2015</t>
  </si>
  <si>
    <t>MRKU 848.497-0</t>
  </si>
  <si>
    <t>36.674/26</t>
  </si>
  <si>
    <t>S660803-19</t>
  </si>
  <si>
    <t>002/1145/2031</t>
  </si>
  <si>
    <t>MSKU 376.622-7</t>
  </si>
  <si>
    <t>36.675/26</t>
  </si>
  <si>
    <t>S660803-18</t>
  </si>
  <si>
    <t>002/1145/2032</t>
  </si>
  <si>
    <t>HASU 125.098-9</t>
  </si>
  <si>
    <t>36.676/26</t>
  </si>
  <si>
    <t>Coffein Compagnie</t>
  </si>
  <si>
    <t>WAPC-10100</t>
  </si>
  <si>
    <t>S045751-2</t>
  </si>
  <si>
    <t>002/1145/1776</t>
  </si>
  <si>
    <t>UETU 274.063-0</t>
  </si>
  <si>
    <t>36.677/26</t>
  </si>
  <si>
    <t>GCXU 232.888-2</t>
  </si>
  <si>
    <t>36.678/26</t>
  </si>
  <si>
    <t>UETU 233.657-3</t>
  </si>
  <si>
    <t>36.686/26</t>
  </si>
  <si>
    <t>P07113.000</t>
  </si>
  <si>
    <t>002/4600/1551</t>
  </si>
  <si>
    <t>TCKU 186.924-2</t>
  </si>
  <si>
    <t>36.687/26</t>
  </si>
  <si>
    <t>002/4600/1552</t>
  </si>
  <si>
    <t>SUDU 186.863-0</t>
  </si>
  <si>
    <t>36.688/26</t>
  </si>
  <si>
    <t>002/4600/1553</t>
  </si>
  <si>
    <t>MRKU 893.432-1</t>
  </si>
  <si>
    <t>36.689/26</t>
  </si>
  <si>
    <t>Reily Foods</t>
  </si>
  <si>
    <t>S659035-3</t>
  </si>
  <si>
    <t>002/1145/2075</t>
  </si>
  <si>
    <t>BMOU 143.925-8</t>
  </si>
  <si>
    <t>36.690/26</t>
  </si>
  <si>
    <t>SEKU 142.026-0</t>
  </si>
  <si>
    <t>36.691/26</t>
  </si>
  <si>
    <t>HLBU 384.124-8</t>
  </si>
  <si>
    <t>36.692/26</t>
  </si>
  <si>
    <t>TRMU 201.165-7</t>
  </si>
  <si>
    <t>36.693/26</t>
  </si>
  <si>
    <t>P-7393</t>
  </si>
  <si>
    <t>S659898-3</t>
  </si>
  <si>
    <t>002/1145/2076</t>
  </si>
  <si>
    <t>HLBU 366.516-0</t>
  </si>
  <si>
    <t>36.694/26</t>
  </si>
  <si>
    <t>RFCU 230.509-3</t>
  </si>
  <si>
    <t>36.695/26</t>
  </si>
  <si>
    <t>HLBU 297.370-1</t>
  </si>
  <si>
    <t>36.696/26</t>
  </si>
  <si>
    <t>FCIU 630.979-0</t>
  </si>
  <si>
    <t>36.697/26</t>
  </si>
  <si>
    <t>UACU 409.391-9</t>
  </si>
  <si>
    <t>36.699/26</t>
  </si>
  <si>
    <t>002/4600/1530</t>
  </si>
  <si>
    <t>MRKU 835.559-3</t>
  </si>
  <si>
    <t>36.700/26</t>
  </si>
  <si>
    <t>002/4600/1531</t>
  </si>
  <si>
    <t>MRKU 869.195-7</t>
  </si>
  <si>
    <t>36.701/26</t>
  </si>
  <si>
    <t>002/4600/1532</t>
  </si>
  <si>
    <t>TTNU 107.310-2</t>
  </si>
  <si>
    <t>36.702/26</t>
  </si>
  <si>
    <t>002/4600/1533</t>
  </si>
  <si>
    <t>TRHU 306.164-7</t>
  </si>
  <si>
    <t>36.703/26</t>
  </si>
  <si>
    <t>002/4600/1534</t>
  </si>
  <si>
    <t>TGHU 174.691-7</t>
  </si>
  <si>
    <t>36.704/26</t>
  </si>
  <si>
    <t>002/4600/1535</t>
  </si>
  <si>
    <t>MRKU 883.875-5</t>
  </si>
  <si>
    <t>36.705/26</t>
  </si>
  <si>
    <t>FCIU 664.441-7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</si>
</sst>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15" fontId="0" fillId="0" borderId="0" xfId="0" applyNumberFormat="1" applyAlignment="1">
      <alignment horizontal="left"/>
    </xf>
    <xf numFmtId="0" fontId="3" fillId="0" borderId="0" xfId="0" applyFont="1" applyAlignment="1">
      <alignment horizontal="right" vertical="center"/>
    </xf>
    <xf numFmtId="1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1282700</xdr:colOff>
      <xdr:row>0</xdr:row>
      <xdr:rowOff>114300</xdr:rowOff>
    </xdr:from>
    <xdr:to>
      <xdr:col>10</xdr:col>
      <xdr:colOff>1587500</xdr:colOff>
      <xdr:row>0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64BA619-91CC-515F-13E3-6C84A4940633}"/>
            </a:ext>
          </a:extLst>
        </xdr:cNvPr>
        <xdr:cNvCxnSpPr/>
      </xdr:nvCxnSpPr>
      <xdr:spPr>
        <a:xfrm>
          <a:off x="12026900" y="1143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D7D73F-DB5A-DD4C-816E-A53DAA4F4B50}" autoFormatId="16" applyNumberFormats="0" applyBorderFormats="0" applyFontFormats="0" applyPatternFormats="0" applyAlignmentFormats="0" applyWidthHeightFormats="0">
  <queryTableRefresh nextId="67">
    <queryTableFields count="10">
      <queryTableField id="17" name="Date Tested" tableColumnId="17"/>
      <queryTableField id="1" name="Certificate#" tableColumnId="1"/>
      <queryTableField id="6" name="Roaster Destination" tableColumnId="6"/>
      <queryTableField id="3" name="Contract #" tableColumnId="3"/>
      <queryTableField id="14" name="Importer" tableColumnId="14"/>
      <queryTableField id="4" name="Importer Contract #" tableColumnId="4"/>
      <queryTableField id="13" name="Exporter" tableColumnId="13"/>
      <queryTableField id="5" name="Bags" tableColumnId="5"/>
      <queryTableField id="8" name="Ico Marks#" tableColumnId="8"/>
      <queryTableField id="7" name="Contain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03A80-2E07-B148-9983-3A46A8B5959F}" name="DB_Current_year" displayName="DB_Current_year" ref="A1:J38" tableType="queryTable" totalsRowShown="0">
  <autoFilter ref="A1:J38" xr:uid="{0D303A80-2E07-B148-9983-3A46A8B5959F}"/>
  <tableColumns count="10">
    <tableColumn id="17" xr3:uid="{4F3979AA-D711-DA41-8469-99E4ADA61169}" uniqueName="17" name="Date Tested" queryTableFieldId="17" dataDxfId="0"/>
    <tableColumn id="1" xr3:uid="{DD6B22A2-E636-F444-98AC-1209EBE042BB}" uniqueName="1" name="Certificate#" queryTableFieldId="1"/>
    <tableColumn id="6" xr3:uid="{0728ECF0-8943-AA45-ACE5-B843F2492F3C}" uniqueName="6" name="Roaster Destination" queryTableFieldId="6"/>
    <tableColumn id="3" xr3:uid="{C185FDFA-D3AF-E14D-BBF5-DE08A06F5F79}" uniqueName="3" name="Contract #" queryTableFieldId="3"/>
    <tableColumn id="14" xr3:uid="{F64D5C00-2882-D743-8A07-6375403498E2}" uniqueName="14" name="Importer" queryTableFieldId="14"/>
    <tableColumn id="4" xr3:uid="{B2B90D18-8165-FF46-9C27-81AB887CBE9E}" uniqueName="4" name="Importer Contract #" queryTableFieldId="4"/>
    <tableColumn id="13" xr3:uid="{A1809528-17B5-4A45-8AA9-04C676185F87}" uniqueName="13" name="Exporter" queryTableFieldId="13"/>
    <tableColumn id="5" xr3:uid="{499ED1B8-6AE3-8F41-AB97-BD278B74596C}" uniqueName="5" name="Bags" queryTableFieldId="5"/>
    <tableColumn id="8" xr3:uid="{DF66A4C9-A41B-BF43-AB26-29C3ED08C329}" uniqueName="8" name="Ico Marks#" queryTableFieldId="8"/>
    <tableColumn id="7" xr3:uid="{30106AB3-78FA-A64E-8C0E-D97DA4514D7E}" uniqueName="7" name="Contain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ED2A-46DF-DB48-8709-6E0655C4E013}">
  <sheetPr codeName="Sheet4"/>
  <dimension ref="A1:U38"/>
  <sheetViews>
    <sheetView tabSelected="1" workbookViewId="0">
      <selection activeCell="H2" sqref="H2:H92"/>
    </sheetView>
  </sheetViews>
  <sheetFormatPr defaultColWidth="11.44140625" defaultRowHeight="13.2" x14ac:dyDescent="0.25"/>
  <cols>
    <col min="1" max="1" width="13.6640625" bestFit="1" customWidth="1"/>
    <col min="2" max="2" width="13.109375" bestFit="1" customWidth="1"/>
    <col min="3" max="3" width="20.77734375" bestFit="1" customWidth="1"/>
    <col min="4" max="4" width="12.44140625" bestFit="1" customWidth="1"/>
    <col min="5" max="5" width="13.88671875" bestFit="1" customWidth="1"/>
    <col min="6" max="6" width="20.6640625" bestFit="1" customWidth="1"/>
    <col min="7" max="7" width="10.88671875" bestFit="1" customWidth="1"/>
    <col min="8" max="8" width="7.6640625" bestFit="1" customWidth="1"/>
    <col min="9" max="9" width="13.21875" bestFit="1" customWidth="1"/>
    <col min="10" max="10" width="15.109375" bestFit="1" customWidth="1"/>
    <col min="11" max="11" width="21.6640625" bestFit="1" customWidth="1"/>
    <col min="12" max="12" width="10.77734375" style="6" bestFit="1" customWidth="1"/>
    <col min="13" max="13" width="15.109375" style="1" bestFit="1" customWidth="1"/>
    <col min="14" max="14" width="17.33203125" style="1" bestFit="1" customWidth="1"/>
    <col min="15" max="15" width="12" style="1" customWidth="1"/>
    <col min="16" max="16" width="13" style="1" bestFit="1" customWidth="1"/>
    <col min="17" max="17" width="17" style="1" bestFit="1" customWidth="1"/>
    <col min="18" max="18" width="8.109375" style="1" bestFit="1" customWidth="1"/>
    <col min="19" max="19" width="5.33203125" style="1" bestFit="1" customWidth="1"/>
    <col min="20" max="20" width="14.77734375" style="1" customWidth="1"/>
    <col min="21" max="21" width="16.44140625" style="1" customWidth="1"/>
    <col min="22" max="62" width="13.109375" bestFit="1" customWidth="1"/>
    <col min="63" max="63" width="18.33203125" bestFit="1" customWidth="1"/>
    <col min="64" max="66" width="13.109375" bestFit="1" customWidth="1"/>
    <col min="67" max="67" width="12.33203125" bestFit="1" customWidth="1"/>
    <col min="68" max="80" width="13.109375" bestFit="1" customWidth="1"/>
    <col min="81" max="81" width="8.44140625" bestFit="1" customWidth="1"/>
    <col min="82" max="87" width="13.109375" bestFit="1" customWidth="1"/>
    <col min="88" max="88" width="12.77734375" bestFit="1" customWidth="1"/>
    <col min="89" max="89" width="10.6640625" bestFit="1" customWidth="1"/>
  </cols>
  <sheetData>
    <row r="1" spans="1:21" ht="15.6" x14ac:dyDescent="0.25">
      <c r="A1" t="s">
        <v>10</v>
      </c>
      <c r="B1" t="s">
        <v>1</v>
      </c>
      <c r="C1" t="s">
        <v>8</v>
      </c>
      <c r="D1" t="s">
        <v>7</v>
      </c>
      <c r="E1" t="s">
        <v>2</v>
      </c>
      <c r="F1" t="s">
        <v>5</v>
      </c>
      <c r="G1" t="s">
        <v>3</v>
      </c>
      <c r="H1" t="s">
        <v>4</v>
      </c>
      <c r="I1" t="s">
        <v>9</v>
      </c>
      <c r="J1" t="s">
        <v>6</v>
      </c>
      <c r="K1" s="7" t="s">
        <v>12</v>
      </c>
      <c r="L1" s="8" t="s">
        <v>2</v>
      </c>
      <c r="M1" s="9" t="s">
        <v>11</v>
      </c>
    </row>
    <row r="2" spans="1:21" x14ac:dyDescent="0.25">
      <c r="A2" s="10">
        <v>46058</v>
      </c>
      <c r="B2" t="s">
        <v>18</v>
      </c>
      <c r="C2" t="s">
        <v>19</v>
      </c>
      <c r="D2">
        <v>5109</v>
      </c>
      <c r="E2" t="s">
        <v>17</v>
      </c>
      <c r="F2" t="s">
        <v>20</v>
      </c>
      <c r="G2" t="s">
        <v>17</v>
      </c>
      <c r="H2">
        <v>334</v>
      </c>
      <c r="I2" t="s">
        <v>21</v>
      </c>
      <c r="J2" t="s">
        <v>22</v>
      </c>
    </row>
    <row r="3" spans="1:21" x14ac:dyDescent="0.25">
      <c r="A3" s="10">
        <v>46058</v>
      </c>
      <c r="B3" t="s">
        <v>23</v>
      </c>
      <c r="C3" t="s">
        <v>19</v>
      </c>
      <c r="D3">
        <v>5108</v>
      </c>
      <c r="E3" t="s">
        <v>17</v>
      </c>
      <c r="F3" t="s">
        <v>24</v>
      </c>
      <c r="G3" t="s">
        <v>17</v>
      </c>
      <c r="H3">
        <v>334</v>
      </c>
      <c r="I3" t="s">
        <v>25</v>
      </c>
      <c r="J3" t="s">
        <v>26</v>
      </c>
      <c r="L3" s="5" t="s">
        <v>10</v>
      </c>
      <c r="M3" s="3" t="s">
        <v>1</v>
      </c>
      <c r="N3" s="3" t="s">
        <v>8</v>
      </c>
      <c r="O3" s="3" t="s">
        <v>7</v>
      </c>
      <c r="P3" s="3" t="s">
        <v>2</v>
      </c>
      <c r="Q3" s="3" t="s">
        <v>5</v>
      </c>
      <c r="R3" s="3" t="s">
        <v>3</v>
      </c>
      <c r="S3" s="3" t="s">
        <v>4</v>
      </c>
      <c r="T3" s="3" t="s">
        <v>9</v>
      </c>
      <c r="U3" s="4" t="s">
        <v>6</v>
      </c>
    </row>
    <row r="4" spans="1:21" x14ac:dyDescent="0.25">
      <c r="A4" s="10">
        <v>46058</v>
      </c>
      <c r="B4" t="s">
        <v>27</v>
      </c>
      <c r="C4" t="s">
        <v>19</v>
      </c>
      <c r="D4">
        <v>5111</v>
      </c>
      <c r="E4" t="s">
        <v>17</v>
      </c>
      <c r="F4" t="s">
        <v>28</v>
      </c>
      <c r="G4" t="s">
        <v>17</v>
      </c>
      <c r="H4">
        <v>334</v>
      </c>
      <c r="I4" t="s">
        <v>29</v>
      </c>
      <c r="J4" t="s">
        <v>30</v>
      </c>
      <c r="L4" s="6" t="str" cm="1">
        <f t="array" ref="L4">_xlfn.IFS(L1="Roaster",
_xlfn._xlws.FILTER(DB_Current_year[],DB_Current_year[Roaster Destination]=M1,""),
        L1="Importer",
_xlfn._xlws.FILTER(DB_Current_year[],DB_Current_year[Importer]=M1,""),
        L1="Exporter",
_xlfn._xlws.FILTER(DB_Current_year[],DB_Current_year[Exporter]=M1,""))</f>
        <v/>
      </c>
    </row>
    <row r="5" spans="1:21" x14ac:dyDescent="0.25">
      <c r="A5" s="10">
        <v>46064</v>
      </c>
      <c r="B5" t="s">
        <v>31</v>
      </c>
      <c r="C5" t="s">
        <v>14</v>
      </c>
      <c r="D5" t="s">
        <v>13</v>
      </c>
      <c r="E5" t="s">
        <v>15</v>
      </c>
      <c r="F5" t="s">
        <v>32</v>
      </c>
      <c r="G5" t="s">
        <v>16</v>
      </c>
      <c r="H5">
        <v>333</v>
      </c>
      <c r="I5" t="s">
        <v>33</v>
      </c>
      <c r="J5" t="s">
        <v>34</v>
      </c>
    </row>
    <row r="6" spans="1:21" x14ac:dyDescent="0.25">
      <c r="A6" s="10">
        <v>46064</v>
      </c>
      <c r="B6" t="s">
        <v>35</v>
      </c>
      <c r="C6" t="s">
        <v>14</v>
      </c>
      <c r="D6" t="s">
        <v>13</v>
      </c>
      <c r="E6" t="s">
        <v>15</v>
      </c>
      <c r="F6" t="s">
        <v>32</v>
      </c>
      <c r="G6" t="s">
        <v>16</v>
      </c>
      <c r="H6">
        <v>333</v>
      </c>
      <c r="I6" t="s">
        <v>36</v>
      </c>
      <c r="J6" t="s">
        <v>37</v>
      </c>
    </row>
    <row r="7" spans="1:21" x14ac:dyDescent="0.25">
      <c r="A7" s="10">
        <v>46064</v>
      </c>
      <c r="B7" t="s">
        <v>38</v>
      </c>
      <c r="C7" t="s">
        <v>14</v>
      </c>
      <c r="D7" t="s">
        <v>13</v>
      </c>
      <c r="E7" t="s">
        <v>15</v>
      </c>
      <c r="F7" t="s">
        <v>32</v>
      </c>
      <c r="G7" t="s">
        <v>16</v>
      </c>
      <c r="H7">
        <v>333</v>
      </c>
      <c r="I7" t="s">
        <v>39</v>
      </c>
      <c r="J7" t="s">
        <v>40</v>
      </c>
    </row>
    <row r="8" spans="1:21" x14ac:dyDescent="0.25">
      <c r="A8" s="10">
        <v>46064</v>
      </c>
      <c r="B8" t="s">
        <v>41</v>
      </c>
      <c r="C8" t="s">
        <v>14</v>
      </c>
      <c r="D8" t="s">
        <v>13</v>
      </c>
      <c r="E8" t="s">
        <v>15</v>
      </c>
      <c r="F8" t="s">
        <v>32</v>
      </c>
      <c r="G8" t="s">
        <v>16</v>
      </c>
      <c r="H8">
        <v>334</v>
      </c>
      <c r="I8" t="s">
        <v>42</v>
      </c>
      <c r="J8" t="s">
        <v>43</v>
      </c>
    </row>
    <row r="9" spans="1:21" x14ac:dyDescent="0.25">
      <c r="A9" s="10">
        <v>46064</v>
      </c>
      <c r="B9" t="s">
        <v>44</v>
      </c>
      <c r="C9" t="s">
        <v>14</v>
      </c>
      <c r="D9" t="s">
        <v>13</v>
      </c>
      <c r="E9" t="s">
        <v>15</v>
      </c>
      <c r="F9" t="s">
        <v>45</v>
      </c>
      <c r="G9" t="s">
        <v>16</v>
      </c>
      <c r="H9">
        <v>333</v>
      </c>
      <c r="I9" t="s">
        <v>46</v>
      </c>
      <c r="J9" t="s">
        <v>47</v>
      </c>
    </row>
    <row r="10" spans="1:21" x14ac:dyDescent="0.25">
      <c r="A10" s="10">
        <v>46064</v>
      </c>
      <c r="B10" t="s">
        <v>48</v>
      </c>
      <c r="C10" t="s">
        <v>14</v>
      </c>
      <c r="D10" t="s">
        <v>13</v>
      </c>
      <c r="E10" t="s">
        <v>15</v>
      </c>
      <c r="F10" t="s">
        <v>45</v>
      </c>
      <c r="G10" t="s">
        <v>16</v>
      </c>
      <c r="H10">
        <v>333</v>
      </c>
      <c r="I10" t="s">
        <v>49</v>
      </c>
      <c r="J10" t="s">
        <v>50</v>
      </c>
    </row>
    <row r="11" spans="1:21" x14ac:dyDescent="0.25">
      <c r="A11" s="10">
        <v>46064</v>
      </c>
      <c r="B11" t="s">
        <v>51</v>
      </c>
      <c r="C11" t="s">
        <v>14</v>
      </c>
      <c r="D11" t="s">
        <v>13</v>
      </c>
      <c r="E11" t="s">
        <v>15</v>
      </c>
      <c r="F11" t="s">
        <v>45</v>
      </c>
      <c r="G11" t="s">
        <v>16</v>
      </c>
      <c r="H11">
        <v>333</v>
      </c>
      <c r="I11" t="s">
        <v>52</v>
      </c>
      <c r="J11" t="s">
        <v>53</v>
      </c>
    </row>
    <row r="12" spans="1:21" x14ac:dyDescent="0.25">
      <c r="A12" s="10">
        <v>46064</v>
      </c>
      <c r="B12" t="s">
        <v>54</v>
      </c>
      <c r="C12" t="s">
        <v>14</v>
      </c>
      <c r="D12" t="s">
        <v>13</v>
      </c>
      <c r="E12" t="s">
        <v>15</v>
      </c>
      <c r="F12" t="s">
        <v>45</v>
      </c>
      <c r="G12" t="s">
        <v>16</v>
      </c>
      <c r="H12">
        <v>334</v>
      </c>
      <c r="I12" t="s">
        <v>55</v>
      </c>
      <c r="J12" t="s">
        <v>56</v>
      </c>
    </row>
    <row r="13" spans="1:21" x14ac:dyDescent="0.25">
      <c r="A13" s="10">
        <v>46064</v>
      </c>
      <c r="B13" t="s">
        <v>57</v>
      </c>
      <c r="C13" t="s">
        <v>14</v>
      </c>
      <c r="D13" t="s">
        <v>13</v>
      </c>
      <c r="E13" t="s">
        <v>15</v>
      </c>
      <c r="F13" t="s">
        <v>45</v>
      </c>
      <c r="G13" t="s">
        <v>16</v>
      </c>
      <c r="H13">
        <v>334</v>
      </c>
      <c r="I13" t="s">
        <v>58</v>
      </c>
      <c r="J13" t="s">
        <v>59</v>
      </c>
    </row>
    <row r="14" spans="1:21" x14ac:dyDescent="0.25">
      <c r="A14" s="10">
        <v>46072</v>
      </c>
      <c r="B14" t="s">
        <v>60</v>
      </c>
      <c r="C14" t="s">
        <v>19</v>
      </c>
      <c r="D14">
        <v>5110</v>
      </c>
      <c r="E14" t="s">
        <v>17</v>
      </c>
      <c r="F14" t="s">
        <v>61</v>
      </c>
      <c r="G14" t="s">
        <v>17</v>
      </c>
      <c r="H14">
        <v>334</v>
      </c>
      <c r="I14" t="s">
        <v>62</v>
      </c>
      <c r="J14" t="s">
        <v>63</v>
      </c>
    </row>
    <row r="15" spans="1:21" x14ac:dyDescent="0.25">
      <c r="A15" s="10">
        <v>46072</v>
      </c>
      <c r="B15" t="s">
        <v>64</v>
      </c>
      <c r="C15" t="s">
        <v>19</v>
      </c>
      <c r="D15">
        <v>5113</v>
      </c>
      <c r="E15" t="s">
        <v>17</v>
      </c>
      <c r="F15" t="s">
        <v>65</v>
      </c>
      <c r="G15" t="s">
        <v>17</v>
      </c>
      <c r="H15">
        <v>334</v>
      </c>
      <c r="I15" t="s">
        <v>66</v>
      </c>
      <c r="J15" t="s">
        <v>67</v>
      </c>
    </row>
    <row r="16" spans="1:21" x14ac:dyDescent="0.25">
      <c r="A16" s="10">
        <v>46072</v>
      </c>
      <c r="B16" t="s">
        <v>68</v>
      </c>
      <c r="C16" t="s">
        <v>19</v>
      </c>
      <c r="D16">
        <v>5112</v>
      </c>
      <c r="E16" t="s">
        <v>17</v>
      </c>
      <c r="F16" t="s">
        <v>69</v>
      </c>
      <c r="G16" t="s">
        <v>17</v>
      </c>
      <c r="H16">
        <v>334</v>
      </c>
      <c r="I16" t="s">
        <v>70</v>
      </c>
      <c r="J16" t="s">
        <v>71</v>
      </c>
    </row>
    <row r="17" spans="1:10" x14ac:dyDescent="0.25">
      <c r="A17" s="10">
        <v>46072</v>
      </c>
      <c r="B17" t="s">
        <v>72</v>
      </c>
      <c r="C17" t="s">
        <v>73</v>
      </c>
      <c r="D17" t="s">
        <v>74</v>
      </c>
      <c r="E17" t="s">
        <v>17</v>
      </c>
      <c r="F17" t="s">
        <v>75</v>
      </c>
      <c r="G17" t="s">
        <v>17</v>
      </c>
      <c r="H17">
        <v>360</v>
      </c>
      <c r="I17" t="s">
        <v>76</v>
      </c>
      <c r="J17" t="s">
        <v>77</v>
      </c>
    </row>
    <row r="18" spans="1:10" x14ac:dyDescent="0.25">
      <c r="A18" s="10">
        <v>46072</v>
      </c>
      <c r="B18" t="s">
        <v>78</v>
      </c>
      <c r="C18" t="s">
        <v>73</v>
      </c>
      <c r="D18" t="s">
        <v>74</v>
      </c>
      <c r="E18" t="s">
        <v>17</v>
      </c>
      <c r="F18" t="s">
        <v>75</v>
      </c>
      <c r="G18" t="s">
        <v>17</v>
      </c>
      <c r="H18">
        <v>360</v>
      </c>
      <c r="I18" t="s">
        <v>76</v>
      </c>
      <c r="J18" t="s">
        <v>79</v>
      </c>
    </row>
    <row r="19" spans="1:10" x14ac:dyDescent="0.25">
      <c r="A19" s="10">
        <v>46072</v>
      </c>
      <c r="B19" t="s">
        <v>80</v>
      </c>
      <c r="C19" t="s">
        <v>73</v>
      </c>
      <c r="D19" t="s">
        <v>74</v>
      </c>
      <c r="E19" t="s">
        <v>17</v>
      </c>
      <c r="F19" t="s">
        <v>75</v>
      </c>
      <c r="G19" t="s">
        <v>17</v>
      </c>
      <c r="H19">
        <v>360</v>
      </c>
      <c r="I19" t="s">
        <v>76</v>
      </c>
      <c r="J19" t="s">
        <v>81</v>
      </c>
    </row>
    <row r="20" spans="1:10" x14ac:dyDescent="0.25">
      <c r="A20" s="10">
        <v>46079</v>
      </c>
      <c r="B20" t="s">
        <v>82</v>
      </c>
      <c r="C20" t="s">
        <v>14</v>
      </c>
      <c r="D20" t="s">
        <v>13</v>
      </c>
      <c r="E20" t="s">
        <v>15</v>
      </c>
      <c r="F20" t="s">
        <v>83</v>
      </c>
      <c r="G20" t="s">
        <v>16</v>
      </c>
      <c r="H20">
        <v>333</v>
      </c>
      <c r="I20" t="s">
        <v>84</v>
      </c>
      <c r="J20" t="s">
        <v>85</v>
      </c>
    </row>
    <row r="21" spans="1:10" x14ac:dyDescent="0.25">
      <c r="A21" s="10">
        <v>46079</v>
      </c>
      <c r="B21" t="s">
        <v>86</v>
      </c>
      <c r="C21" t="s">
        <v>14</v>
      </c>
      <c r="D21" t="s">
        <v>13</v>
      </c>
      <c r="E21" t="s">
        <v>15</v>
      </c>
      <c r="F21" t="s">
        <v>83</v>
      </c>
      <c r="G21" t="s">
        <v>16</v>
      </c>
      <c r="H21">
        <v>333</v>
      </c>
      <c r="I21" t="s">
        <v>87</v>
      </c>
      <c r="J21" t="s">
        <v>88</v>
      </c>
    </row>
    <row r="22" spans="1:10" x14ac:dyDescent="0.25">
      <c r="A22" s="10">
        <v>46079</v>
      </c>
      <c r="B22" t="s">
        <v>89</v>
      </c>
      <c r="C22" t="s">
        <v>14</v>
      </c>
      <c r="D22" t="s">
        <v>13</v>
      </c>
      <c r="E22" t="s">
        <v>15</v>
      </c>
      <c r="F22" t="s">
        <v>83</v>
      </c>
      <c r="G22" t="s">
        <v>16</v>
      </c>
      <c r="H22">
        <v>334</v>
      </c>
      <c r="I22" t="s">
        <v>90</v>
      </c>
      <c r="J22" t="s">
        <v>91</v>
      </c>
    </row>
    <row r="23" spans="1:10" x14ac:dyDescent="0.25">
      <c r="A23" s="10">
        <v>46079</v>
      </c>
      <c r="B23" t="s">
        <v>92</v>
      </c>
      <c r="C23" t="s">
        <v>93</v>
      </c>
      <c r="D23" t="s">
        <v>94</v>
      </c>
      <c r="E23" t="s">
        <v>17</v>
      </c>
      <c r="F23" t="s">
        <v>13</v>
      </c>
      <c r="G23" t="s">
        <v>17</v>
      </c>
      <c r="H23">
        <v>333</v>
      </c>
      <c r="I23" t="s">
        <v>95</v>
      </c>
      <c r="J23" t="s">
        <v>96</v>
      </c>
    </row>
    <row r="24" spans="1:10" x14ac:dyDescent="0.25">
      <c r="A24" s="10">
        <v>46079</v>
      </c>
      <c r="B24" t="s">
        <v>97</v>
      </c>
      <c r="C24" t="s">
        <v>93</v>
      </c>
      <c r="D24" t="s">
        <v>94</v>
      </c>
      <c r="E24" t="s">
        <v>17</v>
      </c>
      <c r="F24" t="s">
        <v>13</v>
      </c>
      <c r="G24" t="s">
        <v>17</v>
      </c>
      <c r="H24">
        <v>333</v>
      </c>
      <c r="I24" t="s">
        <v>95</v>
      </c>
      <c r="J24" t="s">
        <v>98</v>
      </c>
    </row>
    <row r="25" spans="1:10" x14ac:dyDescent="0.25">
      <c r="A25" s="10">
        <v>46079</v>
      </c>
      <c r="B25" t="s">
        <v>99</v>
      </c>
      <c r="C25" t="s">
        <v>93</v>
      </c>
      <c r="D25" t="s">
        <v>94</v>
      </c>
      <c r="E25" t="s">
        <v>17</v>
      </c>
      <c r="F25" t="s">
        <v>13</v>
      </c>
      <c r="G25" t="s">
        <v>17</v>
      </c>
      <c r="H25">
        <v>333</v>
      </c>
      <c r="I25" t="s">
        <v>95</v>
      </c>
      <c r="J25" t="s">
        <v>100</v>
      </c>
    </row>
    <row r="26" spans="1:10" x14ac:dyDescent="0.25">
      <c r="A26" s="10">
        <v>46079</v>
      </c>
      <c r="B26" t="s">
        <v>101</v>
      </c>
      <c r="C26" t="s">
        <v>93</v>
      </c>
      <c r="D26" t="s">
        <v>94</v>
      </c>
      <c r="E26" t="s">
        <v>17</v>
      </c>
      <c r="F26" t="s">
        <v>13</v>
      </c>
      <c r="G26" t="s">
        <v>17</v>
      </c>
      <c r="H26">
        <v>334</v>
      </c>
      <c r="I26" t="s">
        <v>95</v>
      </c>
      <c r="J26" t="s">
        <v>102</v>
      </c>
    </row>
    <row r="27" spans="1:10" x14ac:dyDescent="0.25">
      <c r="A27" s="10">
        <v>46079</v>
      </c>
      <c r="B27" t="s">
        <v>103</v>
      </c>
      <c r="C27" t="s">
        <v>11</v>
      </c>
      <c r="D27" t="s">
        <v>104</v>
      </c>
      <c r="E27" t="s">
        <v>17</v>
      </c>
      <c r="F27" t="s">
        <v>105</v>
      </c>
      <c r="G27" t="s">
        <v>17</v>
      </c>
      <c r="H27">
        <v>333</v>
      </c>
      <c r="I27" t="s">
        <v>106</v>
      </c>
      <c r="J27" t="s">
        <v>107</v>
      </c>
    </row>
    <row r="28" spans="1:10" x14ac:dyDescent="0.25">
      <c r="A28" s="10">
        <v>46079</v>
      </c>
      <c r="B28" t="s">
        <v>108</v>
      </c>
      <c r="C28" t="s">
        <v>11</v>
      </c>
      <c r="D28" t="s">
        <v>104</v>
      </c>
      <c r="E28" t="s">
        <v>17</v>
      </c>
      <c r="F28" t="s">
        <v>105</v>
      </c>
      <c r="G28" t="s">
        <v>17</v>
      </c>
      <c r="H28">
        <v>333</v>
      </c>
      <c r="I28" t="s">
        <v>106</v>
      </c>
      <c r="J28" t="s">
        <v>109</v>
      </c>
    </row>
    <row r="29" spans="1:10" x14ac:dyDescent="0.25">
      <c r="A29" s="10">
        <v>46079</v>
      </c>
      <c r="B29" t="s">
        <v>110</v>
      </c>
      <c r="C29" t="s">
        <v>11</v>
      </c>
      <c r="D29" t="s">
        <v>104</v>
      </c>
      <c r="E29" t="s">
        <v>17</v>
      </c>
      <c r="F29" t="s">
        <v>105</v>
      </c>
      <c r="G29" t="s">
        <v>17</v>
      </c>
      <c r="H29">
        <v>333</v>
      </c>
      <c r="I29" t="s">
        <v>106</v>
      </c>
      <c r="J29" t="s">
        <v>111</v>
      </c>
    </row>
    <row r="30" spans="1:10" x14ac:dyDescent="0.25">
      <c r="A30" s="10">
        <v>46079</v>
      </c>
      <c r="B30" t="s">
        <v>112</v>
      </c>
      <c r="C30" t="s">
        <v>11</v>
      </c>
      <c r="D30" t="s">
        <v>104</v>
      </c>
      <c r="E30" t="s">
        <v>17</v>
      </c>
      <c r="F30" t="s">
        <v>105</v>
      </c>
      <c r="G30" t="s">
        <v>17</v>
      </c>
      <c r="H30">
        <v>334</v>
      </c>
      <c r="I30" t="s">
        <v>106</v>
      </c>
      <c r="J30" t="s">
        <v>113</v>
      </c>
    </row>
    <row r="31" spans="1:10" x14ac:dyDescent="0.25">
      <c r="A31" s="10">
        <v>46079</v>
      </c>
      <c r="B31" t="s">
        <v>114</v>
      </c>
      <c r="C31" t="s">
        <v>11</v>
      </c>
      <c r="D31" t="s">
        <v>104</v>
      </c>
      <c r="E31" t="s">
        <v>17</v>
      </c>
      <c r="F31" t="s">
        <v>105</v>
      </c>
      <c r="G31" t="s">
        <v>17</v>
      </c>
      <c r="H31">
        <v>334</v>
      </c>
      <c r="I31" t="s">
        <v>106</v>
      </c>
      <c r="J31" t="s">
        <v>115</v>
      </c>
    </row>
    <row r="32" spans="1:10" x14ac:dyDescent="0.25">
      <c r="A32" s="10">
        <v>46080</v>
      </c>
      <c r="B32" t="s">
        <v>116</v>
      </c>
      <c r="C32" t="s">
        <v>14</v>
      </c>
      <c r="D32" t="s">
        <v>13</v>
      </c>
      <c r="E32" t="s">
        <v>15</v>
      </c>
      <c r="F32" t="s">
        <v>83</v>
      </c>
      <c r="G32" t="s">
        <v>16</v>
      </c>
      <c r="H32">
        <v>333</v>
      </c>
      <c r="I32" t="s">
        <v>117</v>
      </c>
      <c r="J32" t="s">
        <v>118</v>
      </c>
    </row>
    <row r="33" spans="1:10" x14ac:dyDescent="0.25">
      <c r="A33" s="10">
        <v>46080</v>
      </c>
      <c r="B33" t="s">
        <v>119</v>
      </c>
      <c r="C33" t="s">
        <v>14</v>
      </c>
      <c r="D33" t="s">
        <v>13</v>
      </c>
      <c r="E33" t="s">
        <v>15</v>
      </c>
      <c r="F33" t="s">
        <v>83</v>
      </c>
      <c r="G33" t="s">
        <v>16</v>
      </c>
      <c r="H33">
        <v>333</v>
      </c>
      <c r="I33" t="s">
        <v>120</v>
      </c>
      <c r="J33" t="s">
        <v>121</v>
      </c>
    </row>
    <row r="34" spans="1:10" x14ac:dyDescent="0.25">
      <c r="A34" s="10">
        <v>46080</v>
      </c>
      <c r="B34" t="s">
        <v>122</v>
      </c>
      <c r="C34" t="s">
        <v>14</v>
      </c>
      <c r="D34" t="s">
        <v>13</v>
      </c>
      <c r="E34" t="s">
        <v>15</v>
      </c>
      <c r="F34" t="s">
        <v>83</v>
      </c>
      <c r="G34" t="s">
        <v>16</v>
      </c>
      <c r="H34">
        <v>333</v>
      </c>
      <c r="I34" t="s">
        <v>123</v>
      </c>
      <c r="J34" t="s">
        <v>124</v>
      </c>
    </row>
    <row r="35" spans="1:10" x14ac:dyDescent="0.25">
      <c r="A35" s="10">
        <v>46080</v>
      </c>
      <c r="B35" t="s">
        <v>125</v>
      </c>
      <c r="C35" t="s">
        <v>14</v>
      </c>
      <c r="D35" t="s">
        <v>13</v>
      </c>
      <c r="E35" t="s">
        <v>15</v>
      </c>
      <c r="F35" t="s">
        <v>83</v>
      </c>
      <c r="G35" t="s">
        <v>16</v>
      </c>
      <c r="H35">
        <v>333</v>
      </c>
      <c r="I35" t="s">
        <v>126</v>
      </c>
      <c r="J35" t="s">
        <v>127</v>
      </c>
    </row>
    <row r="36" spans="1:10" x14ac:dyDescent="0.25">
      <c r="A36" s="10">
        <v>46080</v>
      </c>
      <c r="B36" t="s">
        <v>128</v>
      </c>
      <c r="C36" t="s">
        <v>14</v>
      </c>
      <c r="D36" t="s">
        <v>13</v>
      </c>
      <c r="E36" t="s">
        <v>15</v>
      </c>
      <c r="F36" t="s">
        <v>83</v>
      </c>
      <c r="G36" t="s">
        <v>16</v>
      </c>
      <c r="H36">
        <v>334</v>
      </c>
      <c r="I36" t="s">
        <v>129</v>
      </c>
      <c r="J36" t="s">
        <v>130</v>
      </c>
    </row>
    <row r="37" spans="1:10" x14ac:dyDescent="0.25">
      <c r="A37" s="10">
        <v>46080</v>
      </c>
      <c r="B37" t="s">
        <v>131</v>
      </c>
      <c r="C37" t="s">
        <v>14</v>
      </c>
      <c r="D37" t="s">
        <v>13</v>
      </c>
      <c r="E37" t="s">
        <v>15</v>
      </c>
      <c r="F37" t="s">
        <v>83</v>
      </c>
      <c r="G37" t="s">
        <v>16</v>
      </c>
      <c r="H37">
        <v>334</v>
      </c>
      <c r="I37" t="s">
        <v>132</v>
      </c>
      <c r="J37" t="s">
        <v>133</v>
      </c>
    </row>
    <row r="38" spans="1:10" x14ac:dyDescent="0.25">
      <c r="A38" s="10">
        <v>46079</v>
      </c>
      <c r="B38" t="s">
        <v>134</v>
      </c>
      <c r="C38" t="s">
        <v>93</v>
      </c>
      <c r="D38" t="s">
        <v>94</v>
      </c>
      <c r="E38" t="s">
        <v>17</v>
      </c>
      <c r="F38" t="s">
        <v>13</v>
      </c>
      <c r="G38" t="s">
        <v>17</v>
      </c>
      <c r="H38">
        <v>333</v>
      </c>
      <c r="I38" t="s">
        <v>95</v>
      </c>
      <c r="J38" t="s">
        <v>135</v>
      </c>
    </row>
  </sheetData>
  <conditionalFormatting sqref="L4:U97">
    <cfRule type="expression" dxfId="1" priority="1">
      <formula>AND(MOD(ROW(),2)=0, $L4&lt;&gt;"")</formula>
    </cfRule>
  </conditionalFormatting>
  <dataValidations count="2">
    <dataValidation type="list" allowBlank="1" showInputMessage="1" showErrorMessage="1" sqref="L1" xr:uid="{1B1F00D7-6150-F846-9D74-BC12734B7862}">
      <formula1>"Roaster,Exporter,Importer"</formula1>
    </dataValidation>
    <dataValidation type="list" allowBlank="1" showInputMessage="1" showErrorMessage="1" sqref="M1" xr:uid="{3511CA11-8766-144F-85DB-9C5304604C12}">
      <formula1>INDIRECT(L1)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E78-D66E-C74A-ACCC-4EC5C6D587AB}">
  <sheetPr codeName="Sheet5"/>
  <dimension ref="A1:C6"/>
  <sheetViews>
    <sheetView workbookViewId="0">
      <selection activeCell="B2" sqref="B2"/>
    </sheetView>
  </sheetViews>
  <sheetFormatPr defaultColWidth="11.44140625" defaultRowHeight="13.2" x14ac:dyDescent="0.25"/>
  <cols>
    <col min="1" max="1" width="14.44140625" bestFit="1" customWidth="1"/>
    <col min="2" max="2" width="14.33203125" bestFit="1" customWidth="1"/>
    <col min="3" max="3" width="14" bestFit="1" customWidth="1"/>
  </cols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t="str" cm="1">
        <f t="array" ref="A2:A6">_xlfn._xlws.SORT(_xlfn.UNIQUE(DB_Current_year[Roaster Destination]))</f>
        <v>Coffein Compagnie</v>
      </c>
      <c r="B2" t="str" cm="1">
        <f t="array" ref="B2:B3">_xlfn._xlws.SORT(_xlfn.UNIQUE(DB_Current_year[Importer]))</f>
        <v>Coffee America</v>
      </c>
      <c r="C2" t="str" cm="1">
        <f t="array" ref="C2:C3">_xlfn._xlws.SORT(_xlfn.UNIQUE(DB_Current_year[Exporter]))</f>
        <v>Cooxupe</v>
      </c>
    </row>
    <row r="3" spans="1:3" x14ac:dyDescent="0.25">
      <c r="A3" t="str">
        <v>Mother Parkers</v>
      </c>
      <c r="B3" t="str">
        <v>Ofi</v>
      </c>
      <c r="C3" t="str">
        <v>Ofi</v>
      </c>
    </row>
    <row r="4" spans="1:3" x14ac:dyDescent="0.25">
      <c r="A4" t="str">
        <v>Qusac Decaf</v>
      </c>
    </row>
    <row r="5" spans="1:3" x14ac:dyDescent="0.25">
      <c r="A5" t="str">
        <v>Reily Foods</v>
      </c>
    </row>
    <row r="6" spans="1:3" x14ac:dyDescent="0.25">
      <c r="A6" t="str">
        <v>Unsold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9E1123BB8434DBE897FC86D378198" ma:contentTypeVersion="18" ma:contentTypeDescription="Crie um novo documento." ma:contentTypeScope="" ma:versionID="f87dc3f5b0bcb8216590d29211f49260">
  <xsd:schema xmlns:xsd="http://www.w3.org/2001/XMLSchema" xmlns:xs="http://www.w3.org/2001/XMLSchema" xmlns:p="http://schemas.microsoft.com/office/2006/metadata/properties" xmlns:ns2="366c3e2e-e921-4b76-8bcd-a9e7c33955a8" xmlns:ns3="215abb69-fff6-4b58-88f5-38edc1963a0f" targetNamespace="http://schemas.microsoft.com/office/2006/metadata/properties" ma:root="true" ma:fieldsID="f6ef4371ebf471e1bfeac7abf239d1b5" ns2:_="" ns3:_="">
    <xsd:import namespace="366c3e2e-e921-4b76-8bcd-a9e7c33955a8"/>
    <xsd:import namespace="215abb69-fff6-4b58-88f5-38edc1963a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c3e2e-e921-4b76-8bcd-a9e7c3395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74ca3374-feee-46cc-99ac-d101b78d3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abb69-fff6-4b58-88f5-38edc1963a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7e1988-b4a4-4196-bb81-2821f7bd2523}" ma:internalName="TaxCatchAll" ma:showField="CatchAllData" ma:web="215abb69-fff6-4b58-88f5-38edc1963a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5abb69-fff6-4b58-88f5-38edc1963a0f">
      <UserInfo>
        <DisplayName>Anderson - Wolthers</DisplayName>
        <AccountId>11</AccountId>
        <AccountType/>
      </UserInfo>
      <UserInfo>
        <DisplayName>Matheus - Wolthers</DisplayName>
        <AccountId>20</AccountId>
        <AccountType/>
      </UserInfo>
    </SharedWithUsers>
    <TaxCatchAll xmlns="215abb69-fff6-4b58-88f5-38edc1963a0f" xsi:nil="true"/>
    <lcf76f155ced4ddcb4097134ff3c332f xmlns="366c3e2e-e921-4b76-8bcd-a9e7c33955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241B2C8-173E-4569-9D28-B7D50F642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c3e2e-e921-4b76-8bcd-a9e7c33955a8"/>
    <ds:schemaRef ds:uri="215abb69-fff6-4b58-88f5-38edc1963a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92A5D9-26AA-48B7-9EAA-BBA5757DD998}">
  <ds:schemaRefs>
    <ds:schemaRef ds:uri="http://schemas.microsoft.com/office/2006/documentManagement/types"/>
    <ds:schemaRef ds:uri="http://schemas.openxmlformats.org/package/2006/metadata/core-properties"/>
    <ds:schemaRef ds:uri="215abb69-fff6-4b58-88f5-38edc1963a0f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366c3e2e-e921-4b76-8bcd-a9e7c33955a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69897F5-2FAB-4E70-BC73-B03C9A403B3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2EE26B-A92C-ED42-8149-50326AB75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 Current year</vt:lpstr>
      <vt:lpstr>Helper</vt:lpstr>
    </vt:vector>
  </TitlesOfParts>
  <Manager/>
  <Company>Wolthers &amp; Associates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Wolthers</dc:creator>
  <cp:keywords/>
  <dc:description/>
  <cp:lastModifiedBy>Anderson  Nunes dos Santos</cp:lastModifiedBy>
  <cp:revision/>
  <cp:lastPrinted>2022-06-15T16:47:50Z</cp:lastPrinted>
  <dcterms:created xsi:type="dcterms:W3CDTF">2002-06-25T13:16:05Z</dcterms:created>
  <dcterms:modified xsi:type="dcterms:W3CDTF">2026-03-02T12:14:22Z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0x010100F159E1123BB8434DBE897FC86D378198</vt:lpwstr>
  </property>
  <property fmtid="{D5CDD505-2E9C-101B-9397-08002B2CF9AE}" pid="3" name="MediaServiceImageTags">
    <vt:lpwstr/>
  </property>
</Properties>
</file>